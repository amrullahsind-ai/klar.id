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IM\HRD\"/>
    </mc:Choice>
  </mc:AlternateContent>
  <xr:revisionPtr revIDLastSave="0" documentId="13_ncr:1_{EA1A450B-CA0E-4DCC-97B7-C6E44F43C782}" xr6:coauthVersionLast="47" xr6:coauthVersionMax="47" xr10:uidLastSave="{00000000-0000-0000-0000-000000000000}"/>
  <bookViews>
    <workbookView xWindow="-110" yWindow="-110" windowWidth="19420" windowHeight="10300" tabRatio="500" firstSheet="4" activeTab="6" xr2:uid="{00000000-000D-0000-FFFF-FFFF00000000}"/>
  </bookViews>
  <sheets>
    <sheet name="ABSENSI PER TMT" sheetId="1" r:id="rId1"/>
    <sheet name="Gapok" sheetId="2" r:id="rId2"/>
    <sheet name="SLIP GAJI" sheetId="3" r:id="rId3"/>
    <sheet name="TJ. FUNGSIONAL" sheetId="4" r:id="rId4"/>
    <sheet name="POTONGAN BPJS JHT" sheetId="5" r:id="rId5"/>
    <sheet name="PINJAMAN" sheetId="6" r:id="rId6"/>
    <sheet name="PER UNIT" sheetId="7" r:id="rId7"/>
  </sheets>
  <externalReferences>
    <externalReference r:id="rId8"/>
  </externalReferences>
  <definedNames>
    <definedName name="_xlnm._FilterDatabase" localSheetId="0" hidden="1">'ABSENSI PER TMT'!$B$4:$AI$92</definedName>
    <definedName name="_xlnm._FilterDatabase" localSheetId="6" hidden="1">'PER UNIT'!$A$6:$AMC$66</definedName>
    <definedName name="_xlnm.Print_Area" localSheetId="0">'ABSENSI PER TMT'!$C$4:$AI$28</definedName>
    <definedName name="_xlnm.Print_Area" localSheetId="6">'PER UNIT'!$C$4:$AJ$34</definedName>
    <definedName name="_xlnm.Print_Area" localSheetId="2">'SLIP GAJI'!$A$1:$L$44</definedName>
  </definedNames>
  <calcPr calcId="191029"/>
</workbook>
</file>

<file path=xl/calcChain.xml><?xml version="1.0" encoding="utf-8"?>
<calcChain xmlns="http://schemas.openxmlformats.org/spreadsheetml/2006/main">
  <c r="BQ57" i="7" l="1"/>
  <c r="BQ60" i="7"/>
  <c r="AL50" i="7"/>
  <c r="AL51" i="7"/>
  <c r="AN53" i="7"/>
  <c r="AM53" i="7"/>
  <c r="AL53" i="7"/>
  <c r="AK53" i="7"/>
  <c r="AL41" i="7"/>
  <c r="AL42" i="7"/>
  <c r="AM30" i="7"/>
  <c r="AM31" i="7"/>
  <c r="AI4" i="6"/>
  <c r="AI5" i="6"/>
  <c r="AI6" i="6"/>
  <c r="AI7" i="6"/>
  <c r="AI8" i="6"/>
  <c r="AI9" i="6"/>
  <c r="AI10" i="6"/>
  <c r="AI3" i="6"/>
  <c r="AH4" i="6"/>
  <c r="AH5" i="6"/>
  <c r="AH6" i="6"/>
  <c r="AH7" i="6"/>
  <c r="AH8" i="6"/>
  <c r="AH9" i="6"/>
  <c r="AH10" i="6"/>
  <c r="AH3" i="6"/>
  <c r="AG10" i="6"/>
  <c r="AG9" i="6"/>
  <c r="AG8" i="6"/>
  <c r="BP10" i="7"/>
  <c r="AM26" i="7"/>
  <c r="AM35" i="7"/>
  <c r="AM44" i="7"/>
  <c r="AK52" i="7"/>
  <c r="BE7" i="7"/>
  <c r="BE8" i="7"/>
  <c r="BE9" i="7"/>
  <c r="BE10" i="7"/>
  <c r="BE11" i="7"/>
  <c r="BE12" i="7"/>
  <c r="BE13" i="7"/>
  <c r="BE14" i="7"/>
  <c r="BF7" i="7"/>
  <c r="BF8" i="7"/>
  <c r="BF9" i="7"/>
  <c r="BF10" i="7"/>
  <c r="BF11" i="7"/>
  <c r="BF12" i="7"/>
  <c r="BF13" i="7"/>
  <c r="AM16" i="7"/>
  <c r="AM15" i="7"/>
  <c r="AM14" i="7"/>
  <c r="AM12" i="7"/>
  <c r="AM11" i="7"/>
  <c r="AM10" i="7"/>
  <c r="AM9" i="7"/>
  <c r="AM8" i="7"/>
  <c r="AM7" i="7"/>
  <c r="AG4" i="6" l="1"/>
  <c r="AG5" i="6"/>
  <c r="AG6" i="6"/>
  <c r="AG7" i="6"/>
  <c r="BL52" i="7" l="1"/>
  <c r="BL53" i="7"/>
  <c r="BL54" i="7"/>
  <c r="BG52" i="7"/>
  <c r="BG53" i="7"/>
  <c r="BF52" i="7"/>
  <c r="BF53" i="7"/>
  <c r="BE52" i="7"/>
  <c r="BP52" i="7" s="1"/>
  <c r="BE53" i="7"/>
  <c r="BP53" i="7" s="1"/>
  <c r="AS52" i="7"/>
  <c r="AS53" i="7"/>
  <c r="AR52" i="7"/>
  <c r="AR53" i="7"/>
  <c r="AQ52" i="7"/>
  <c r="AQ53" i="7"/>
  <c r="AO52" i="7"/>
  <c r="AO53" i="7"/>
  <c r="AN52" i="7"/>
  <c r="AM52" i="7"/>
  <c r="AL52" i="7"/>
  <c r="BD53" i="7" l="1"/>
  <c r="BS53" i="7" s="1"/>
  <c r="BD52" i="7"/>
  <c r="BS52" i="7" s="1"/>
  <c r="AG3" i="6"/>
  <c r="AL65" i="7"/>
  <c r="AL66" i="7"/>
  <c r="AL49" i="7"/>
  <c r="BE47" i="7" l="1"/>
  <c r="AL35" i="7" l="1"/>
  <c r="AM41" i="7" l="1"/>
  <c r="BL50" i="7"/>
  <c r="BL51" i="7"/>
  <c r="BG50" i="7"/>
  <c r="BG51" i="7"/>
  <c r="BF50" i="7"/>
  <c r="BF51" i="7"/>
  <c r="BE50" i="7"/>
  <c r="BE51" i="7"/>
  <c r="AS50" i="7"/>
  <c r="AS51" i="7"/>
  <c r="AR50" i="7"/>
  <c r="AR51" i="7"/>
  <c r="AQ50" i="7"/>
  <c r="AQ51" i="7"/>
  <c r="AO50" i="7"/>
  <c r="AO51" i="7"/>
  <c r="AN50" i="7"/>
  <c r="AN51" i="7"/>
  <c r="AM50" i="7"/>
  <c r="AM51" i="7"/>
  <c r="AK50" i="7"/>
  <c r="AK51" i="7"/>
  <c r="AL15" i="7"/>
  <c r="AL16" i="7"/>
  <c r="AL14" i="7"/>
  <c r="AL48" i="7"/>
  <c r="AM61" i="7"/>
  <c r="BP50" i="7" l="1"/>
  <c r="BP51" i="7"/>
  <c r="BD50" i="7"/>
  <c r="BD51" i="7"/>
  <c r="AK65" i="7"/>
  <c r="BE49" i="7"/>
  <c r="BF49" i="7"/>
  <c r="BG49" i="7"/>
  <c r="BL49" i="7"/>
  <c r="BL65" i="7"/>
  <c r="BL66" i="7"/>
  <c r="BG65" i="7"/>
  <c r="BG66" i="7"/>
  <c r="BF65" i="7"/>
  <c r="BF66" i="7"/>
  <c r="BE65" i="7"/>
  <c r="BE66" i="7"/>
  <c r="AX65" i="7"/>
  <c r="AX66" i="7"/>
  <c r="AS65" i="7"/>
  <c r="AS66" i="7"/>
  <c r="AR65" i="7"/>
  <c r="AR66" i="7"/>
  <c r="AQ65" i="7"/>
  <c r="AQ66" i="7"/>
  <c r="AO65" i="7"/>
  <c r="AO66" i="7"/>
  <c r="AN66" i="7"/>
  <c r="AN65" i="7"/>
  <c r="AM65" i="7"/>
  <c r="AM66" i="7"/>
  <c r="AK64" i="7"/>
  <c r="AK66" i="7"/>
  <c r="BS50" i="7" l="1"/>
  <c r="BS51" i="7"/>
  <c r="BP65" i="7"/>
  <c r="BP66" i="7"/>
  <c r="BD66" i="7"/>
  <c r="BD65" i="7"/>
  <c r="BP49" i="7"/>
  <c r="BS65" i="7" l="1"/>
  <c r="BS66" i="7"/>
  <c r="AK49" i="7"/>
  <c r="AM49" i="7"/>
  <c r="AN49" i="7"/>
  <c r="AO49" i="7"/>
  <c r="AQ49" i="7"/>
  <c r="AR49" i="7"/>
  <c r="AS49" i="7"/>
  <c r="BE48" i="7"/>
  <c r="AX63" i="7"/>
  <c r="AX61" i="7"/>
  <c r="AV17" i="7"/>
  <c r="AL13" i="7"/>
  <c r="BD49" i="7" l="1"/>
  <c r="BS49" i="7" s="1"/>
  <c r="AM54" i="7"/>
  <c r="BL16" i="7"/>
  <c r="BG16" i="7"/>
  <c r="BF16" i="7"/>
  <c r="BE16" i="7"/>
  <c r="AS16" i="7"/>
  <c r="AR16" i="7"/>
  <c r="AO16" i="7"/>
  <c r="AN16" i="7"/>
  <c r="AK16" i="7"/>
  <c r="BP16" i="7" l="1"/>
  <c r="BD16" i="7"/>
  <c r="C13" i="6"/>
  <c r="C15" i="6" s="1"/>
  <c r="AL46" i="7"/>
  <c r="AL45" i="7"/>
  <c r="BS16" i="7" l="1"/>
  <c r="AM48" i="7"/>
  <c r="BL48" i="7"/>
  <c r="BG48" i="7"/>
  <c r="BF48" i="7"/>
  <c r="AS48" i="7"/>
  <c r="AR48" i="7"/>
  <c r="AQ48" i="7"/>
  <c r="AN48" i="7"/>
  <c r="AK48" i="7"/>
  <c r="AO48" i="7"/>
  <c r="BL14" i="7"/>
  <c r="BL15" i="7"/>
  <c r="BG14" i="7"/>
  <c r="BG15" i="7"/>
  <c r="BF14" i="7"/>
  <c r="BF15" i="7"/>
  <c r="BE15" i="7"/>
  <c r="AS14" i="7"/>
  <c r="AS15" i="7"/>
  <c r="AR14" i="7"/>
  <c r="AR15" i="7"/>
  <c r="AQ14" i="7"/>
  <c r="AQ15" i="7"/>
  <c r="AO14" i="7"/>
  <c r="AO15" i="7"/>
  <c r="AN14" i="7"/>
  <c r="AN15" i="7"/>
  <c r="AK14" i="7"/>
  <c r="AK15" i="7"/>
  <c r="O14" i="7"/>
  <c r="O15" i="7"/>
  <c r="O13" i="7"/>
  <c r="BL13" i="7"/>
  <c r="BG13" i="7"/>
  <c r="AS13" i="7"/>
  <c r="AR13" i="7"/>
  <c r="AQ13" i="7"/>
  <c r="BD13" i="7" s="1"/>
  <c r="AO13" i="7"/>
  <c r="AN13" i="7"/>
  <c r="AK13" i="7"/>
  <c r="BL47" i="7"/>
  <c r="BG47" i="7"/>
  <c r="BF47" i="7"/>
  <c r="AS47" i="7"/>
  <c r="AR47" i="7"/>
  <c r="AQ47" i="7"/>
  <c r="AO47" i="7"/>
  <c r="AN47" i="7"/>
  <c r="AM47" i="7"/>
  <c r="AK47" i="7"/>
  <c r="AM45" i="7"/>
  <c r="AM46" i="7"/>
  <c r="AK45" i="7"/>
  <c r="AK46" i="7"/>
  <c r="BP48" i="7" l="1"/>
  <c r="BP15" i="7"/>
  <c r="BD48" i="7"/>
  <c r="BP14" i="7"/>
  <c r="BP13" i="7"/>
  <c r="BD14" i="7"/>
  <c r="BD15" i="7"/>
  <c r="BD47" i="7"/>
  <c r="BP47" i="7"/>
  <c r="AM17" i="7"/>
  <c r="AQ23" i="7"/>
  <c r="AQ24" i="7"/>
  <c r="AQ25" i="7"/>
  <c r="AQ28" i="7"/>
  <c r="AQ29" i="7"/>
  <c r="AQ30" i="7"/>
  <c r="AQ31" i="7"/>
  <c r="AM21" i="7"/>
  <c r="AM22" i="7"/>
  <c r="AM18" i="7"/>
  <c r="AM19" i="7"/>
  <c r="AM20" i="7"/>
  <c r="AM23" i="7"/>
  <c r="BS48" i="7" l="1"/>
  <c r="BS15" i="7"/>
  <c r="BS47" i="7"/>
  <c r="BS14" i="7"/>
  <c r="BS13" i="7"/>
  <c r="AM24" i="7"/>
  <c r="BL61" i="7"/>
  <c r="BE45" i="7" l="1"/>
  <c r="BE46" i="7"/>
  <c r="BE54" i="7"/>
  <c r="BE55" i="7"/>
  <c r="BE56" i="7"/>
  <c r="BE57" i="7"/>
  <c r="BE58" i="7"/>
  <c r="BE59" i="7"/>
  <c r="BE60" i="7"/>
  <c r="BE61" i="7"/>
  <c r="BE62" i="7"/>
  <c r="BE63" i="7"/>
  <c r="BE64" i="7"/>
  <c r="BE26" i="7"/>
  <c r="BE27" i="7"/>
  <c r="BE28" i="7"/>
  <c r="BE29" i="7"/>
  <c r="BE30" i="7"/>
  <c r="BE31" i="7"/>
  <c r="BE32" i="7"/>
  <c r="BE33" i="7"/>
  <c r="BE34" i="7"/>
  <c r="BE35" i="7"/>
  <c r="BE36" i="7"/>
  <c r="BE37" i="7"/>
  <c r="BE38" i="7"/>
  <c r="BE39" i="7"/>
  <c r="BE40" i="7"/>
  <c r="BE41" i="7"/>
  <c r="BE42" i="7"/>
  <c r="BE43" i="7"/>
  <c r="BE44" i="7"/>
  <c r="BE17" i="7"/>
  <c r="BE18" i="7"/>
  <c r="BE19" i="7"/>
  <c r="BE20" i="7"/>
  <c r="BE21" i="7"/>
  <c r="BE22" i="7"/>
  <c r="BE23" i="7"/>
  <c r="BE24" i="7"/>
  <c r="BE25" i="7"/>
  <c r="BL45" i="7"/>
  <c r="BL46" i="7"/>
  <c r="BG45" i="7"/>
  <c r="BG46" i="7"/>
  <c r="BG54" i="7"/>
  <c r="BF45" i="7"/>
  <c r="BF46" i="7"/>
  <c r="AS45" i="7"/>
  <c r="AS46" i="7"/>
  <c r="AR45" i="7"/>
  <c r="AR46" i="7"/>
  <c r="AR54" i="7"/>
  <c r="AQ45" i="7"/>
  <c r="AQ46" i="7"/>
  <c r="AO45" i="7"/>
  <c r="AO46" i="7"/>
  <c r="AN45" i="7"/>
  <c r="AN46" i="7"/>
  <c r="AM33" i="7"/>
  <c r="BL21" i="7"/>
  <c r="BG21" i="7"/>
  <c r="BF21" i="7"/>
  <c r="AS21" i="7"/>
  <c r="AR21" i="7"/>
  <c r="AQ21" i="7"/>
  <c r="AO21" i="7"/>
  <c r="AN21" i="7"/>
  <c r="AK21" i="7"/>
  <c r="O21" i="7"/>
  <c r="BH8" i="7"/>
  <c r="BP45" i="7" l="1"/>
  <c r="BD45" i="7"/>
  <c r="BP46" i="7"/>
  <c r="BD46" i="7"/>
  <c r="BP21" i="7"/>
  <c r="BD21" i="7"/>
  <c r="BS46" i="7" l="1"/>
  <c r="BS45" i="7"/>
  <c r="BS21" i="7"/>
  <c r="BL41" i="7"/>
  <c r="BG41" i="7"/>
  <c r="BF41" i="7"/>
  <c r="AS41" i="7"/>
  <c r="AR41" i="7"/>
  <c r="AQ41" i="7"/>
  <c r="AO41" i="7"/>
  <c r="AN41" i="7"/>
  <c r="AK41" i="7"/>
  <c r="AL59" i="7"/>
  <c r="AK59" i="7"/>
  <c r="BP41" i="7" l="1"/>
  <c r="BD41" i="7"/>
  <c r="AS64" i="7"/>
  <c r="AR17" i="7"/>
  <c r="BF62" i="7"/>
  <c r="BF63" i="7"/>
  <c r="BF64" i="7"/>
  <c r="BF61" i="7"/>
  <c r="BS41" i="7" l="1"/>
  <c r="AL62" i="7"/>
  <c r="AL63" i="7"/>
  <c r="AQ7" i="7"/>
  <c r="AQ8" i="7"/>
  <c r="AQ9" i="7"/>
  <c r="AQ10" i="7"/>
  <c r="AQ11" i="7"/>
  <c r="AQ12" i="7"/>
  <c r="AQ17" i="7"/>
  <c r="AQ62" i="7"/>
  <c r="AQ63" i="7"/>
  <c r="AQ64" i="7"/>
  <c r="AQ57" i="7"/>
  <c r="AQ58" i="7"/>
  <c r="AQ59" i="7"/>
  <c r="AQ60" i="7"/>
  <c r="AQ61" i="7"/>
  <c r="AQ44" i="7"/>
  <c r="AQ54" i="7"/>
  <c r="AQ55" i="7"/>
  <c r="AQ56" i="7"/>
  <c r="AQ34" i="7"/>
  <c r="AQ35" i="7"/>
  <c r="AQ36" i="7"/>
  <c r="AQ37" i="7"/>
  <c r="AQ38" i="7"/>
  <c r="AQ39" i="7"/>
  <c r="AQ40" i="7"/>
  <c r="AQ42" i="7"/>
  <c r="AQ43" i="7"/>
  <c r="AQ32" i="7"/>
  <c r="AQ33" i="7"/>
  <c r="AQ19" i="7"/>
  <c r="AQ20" i="7"/>
  <c r="AQ22" i="7"/>
  <c r="AQ18" i="7"/>
  <c r="AL17" i="7" l="1"/>
  <c r="BL62" i="7"/>
  <c r="BL63" i="7"/>
  <c r="BL64" i="7"/>
  <c r="BL58" i="7"/>
  <c r="BL59" i="7"/>
  <c r="BL60" i="7"/>
  <c r="BG62" i="7"/>
  <c r="BG63" i="7"/>
  <c r="BG64" i="7"/>
  <c r="AM62" i="7"/>
  <c r="AK62" i="7"/>
  <c r="BL12" i="7" l="1"/>
  <c r="BG12" i="7"/>
  <c r="AS12" i="7"/>
  <c r="AR12" i="7"/>
  <c r="AO12" i="7"/>
  <c r="AN12" i="7"/>
  <c r="AL12" i="7"/>
  <c r="AK12" i="7"/>
  <c r="BL11" i="7"/>
  <c r="BG11" i="7"/>
  <c r="AS11" i="7"/>
  <c r="AR11" i="7"/>
  <c r="AO11" i="7"/>
  <c r="AN11" i="7"/>
  <c r="AL11" i="7"/>
  <c r="AK11" i="7"/>
  <c r="O11" i="7"/>
  <c r="BL10" i="7"/>
  <c r="BG10" i="7"/>
  <c r="AS10" i="7"/>
  <c r="AR10" i="7"/>
  <c r="AO10" i="7"/>
  <c r="AN10" i="7"/>
  <c r="AL10" i="7"/>
  <c r="O10" i="7"/>
  <c r="BL9" i="7"/>
  <c r="BG9" i="7"/>
  <c r="AS9" i="7"/>
  <c r="AR9" i="7"/>
  <c r="AO9" i="7"/>
  <c r="AN9" i="7"/>
  <c r="AL9" i="7"/>
  <c r="O9" i="7"/>
  <c r="BG8" i="7"/>
  <c r="AV8" i="7"/>
  <c r="AS8" i="7"/>
  <c r="AR8" i="7"/>
  <c r="AO8" i="7"/>
  <c r="AN8" i="7"/>
  <c r="AL8" i="7"/>
  <c r="O8" i="7"/>
  <c r="BL7" i="7"/>
  <c r="BG7" i="7"/>
  <c r="AS7" i="7"/>
  <c r="AR7" i="7"/>
  <c r="AO7" i="7"/>
  <c r="AN7" i="7"/>
  <c r="AL7" i="7"/>
  <c r="BP64" i="7"/>
  <c r="AX64" i="7"/>
  <c r="AR64" i="7"/>
  <c r="AO64" i="7"/>
  <c r="AM64" i="7"/>
  <c r="BP63" i="7"/>
  <c r="AS63" i="7"/>
  <c r="AR63" i="7"/>
  <c r="AO63" i="7"/>
  <c r="AM63" i="7"/>
  <c r="AK63" i="7"/>
  <c r="BP62" i="7"/>
  <c r="AX62" i="7"/>
  <c r="AS62" i="7"/>
  <c r="AR62" i="7"/>
  <c r="AO62" i="7"/>
  <c r="AN62" i="7"/>
  <c r="BG61" i="7"/>
  <c r="AS61" i="7"/>
  <c r="AR61" i="7"/>
  <c r="AO61" i="7"/>
  <c r="AN61" i="7"/>
  <c r="AL61" i="7"/>
  <c r="AK61" i="7"/>
  <c r="BG60" i="7"/>
  <c r="BF60" i="7"/>
  <c r="AX60" i="7"/>
  <c r="AS60" i="7"/>
  <c r="AR60" i="7"/>
  <c r="AO60" i="7"/>
  <c r="AN60" i="7"/>
  <c r="AM60" i="7"/>
  <c r="AL60" i="7"/>
  <c r="AK60" i="7"/>
  <c r="O60" i="7"/>
  <c r="BG59" i="7"/>
  <c r="BF59" i="7"/>
  <c r="AX59" i="7"/>
  <c r="AS59" i="7"/>
  <c r="AR59" i="7"/>
  <c r="AO59" i="7"/>
  <c r="AM59" i="7"/>
  <c r="BG58" i="7"/>
  <c r="BF58" i="7"/>
  <c r="AX58" i="7"/>
  <c r="AS58" i="7"/>
  <c r="AR58" i="7"/>
  <c r="AO58" i="7"/>
  <c r="AN58" i="7"/>
  <c r="AM58" i="7"/>
  <c r="AL58" i="7"/>
  <c r="AK58" i="7"/>
  <c r="O58" i="7"/>
  <c r="BL57" i="7"/>
  <c r="AS57" i="7"/>
  <c r="AR57" i="7"/>
  <c r="AO57" i="7"/>
  <c r="AN57" i="7"/>
  <c r="AM57" i="7"/>
  <c r="AL57" i="7"/>
  <c r="AK57" i="7"/>
  <c r="O57" i="7"/>
  <c r="BL56" i="7"/>
  <c r="BG56" i="7"/>
  <c r="BF56" i="7"/>
  <c r="AX56" i="7"/>
  <c r="AS56" i="7"/>
  <c r="AR56" i="7"/>
  <c r="AO56" i="7"/>
  <c r="AN56" i="7"/>
  <c r="AL56" i="7"/>
  <c r="O56" i="7"/>
  <c r="BL55" i="7"/>
  <c r="BG55" i="7"/>
  <c r="BF55" i="7"/>
  <c r="AX55" i="7"/>
  <c r="AS55" i="7"/>
  <c r="AR55" i="7"/>
  <c r="AO55" i="7"/>
  <c r="AL55" i="7"/>
  <c r="O55" i="7"/>
  <c r="BF54" i="7"/>
  <c r="AS54" i="7"/>
  <c r="AO54" i="7"/>
  <c r="AN54" i="7"/>
  <c r="AL54" i="7"/>
  <c r="O54" i="7"/>
  <c r="BL44" i="7"/>
  <c r="BG44" i="7"/>
  <c r="BF44" i="7"/>
  <c r="AS44" i="7"/>
  <c r="AR44" i="7"/>
  <c r="AO44" i="7"/>
  <c r="AN44" i="7"/>
  <c r="AL44" i="7"/>
  <c r="AK44" i="7"/>
  <c r="BL43" i="7"/>
  <c r="BG43" i="7"/>
  <c r="BF43" i="7"/>
  <c r="AS43" i="7"/>
  <c r="AR43" i="7"/>
  <c r="AO43" i="7"/>
  <c r="AN43" i="7"/>
  <c r="AM43" i="7"/>
  <c r="AL43" i="7"/>
  <c r="AK43" i="7"/>
  <c r="BL42" i="7"/>
  <c r="BG42" i="7"/>
  <c r="BF42" i="7"/>
  <c r="AS42" i="7"/>
  <c r="AR42" i="7"/>
  <c r="AO42" i="7"/>
  <c r="AN42" i="7"/>
  <c r="AM42" i="7"/>
  <c r="AK42" i="7"/>
  <c r="BL40" i="7"/>
  <c r="BG40" i="7"/>
  <c r="BF40" i="7"/>
  <c r="AS40" i="7"/>
  <c r="AR40" i="7"/>
  <c r="AO40" i="7"/>
  <c r="AN40" i="7"/>
  <c r="AM40" i="7"/>
  <c r="AL40" i="7"/>
  <c r="AK40" i="7"/>
  <c r="O40" i="7"/>
  <c r="BL39" i="7"/>
  <c r="BG39" i="7"/>
  <c r="BF39" i="7"/>
  <c r="AS39" i="7"/>
  <c r="AR39" i="7"/>
  <c r="AO39" i="7"/>
  <c r="AN39" i="7"/>
  <c r="AM39" i="7"/>
  <c r="AL39" i="7"/>
  <c r="AK39" i="7"/>
  <c r="O39" i="7"/>
  <c r="BL38" i="7"/>
  <c r="BG38" i="7"/>
  <c r="BF38" i="7"/>
  <c r="AS38" i="7"/>
  <c r="AR38" i="7"/>
  <c r="AO38" i="7"/>
  <c r="AN38" i="7"/>
  <c r="AM38" i="7"/>
  <c r="AL38" i="7"/>
  <c r="AK38" i="7"/>
  <c r="O38" i="7"/>
  <c r="BL37" i="7"/>
  <c r="BG37" i="7"/>
  <c r="BF37" i="7"/>
  <c r="AS37" i="7"/>
  <c r="AR37" i="7"/>
  <c r="AO37" i="7"/>
  <c r="AN37" i="7"/>
  <c r="AM37" i="7"/>
  <c r="AL37" i="7"/>
  <c r="O37" i="7"/>
  <c r="BL36" i="7"/>
  <c r="BG36" i="7"/>
  <c r="BF36" i="7"/>
  <c r="AS36" i="7"/>
  <c r="AR36" i="7"/>
  <c r="AO36" i="7"/>
  <c r="AN36" i="7"/>
  <c r="AL36" i="7"/>
  <c r="O36" i="7"/>
  <c r="BL35" i="7"/>
  <c r="BG35" i="7"/>
  <c r="BF35" i="7"/>
  <c r="AS35" i="7"/>
  <c r="AR35" i="7"/>
  <c r="BD35" i="7" s="1"/>
  <c r="AO35" i="7"/>
  <c r="AN35" i="7"/>
  <c r="O35" i="7"/>
  <c r="BL34" i="7"/>
  <c r="BG34" i="7"/>
  <c r="BF34" i="7"/>
  <c r="AS34" i="7"/>
  <c r="AR34" i="7"/>
  <c r="AO34" i="7"/>
  <c r="AN34" i="7"/>
  <c r="AM34" i="7"/>
  <c r="AL34" i="7"/>
  <c r="O34" i="7"/>
  <c r="BL33" i="7"/>
  <c r="BG33" i="7"/>
  <c r="BF33" i="7"/>
  <c r="AS33" i="7"/>
  <c r="AR33" i="7"/>
  <c r="AO33" i="7"/>
  <c r="AN33" i="7"/>
  <c r="AL33" i="7"/>
  <c r="O33" i="7"/>
  <c r="BL32" i="7"/>
  <c r="BG32" i="7"/>
  <c r="BF32" i="7"/>
  <c r="AS32" i="7"/>
  <c r="AR32" i="7"/>
  <c r="AO32" i="7"/>
  <c r="AN32" i="7"/>
  <c r="AM32" i="7"/>
  <c r="AL32" i="7"/>
  <c r="O32" i="7"/>
  <c r="BL31" i="7"/>
  <c r="BG31" i="7"/>
  <c r="BF31" i="7"/>
  <c r="AS31" i="7"/>
  <c r="AR31" i="7"/>
  <c r="AO31" i="7"/>
  <c r="AN31" i="7"/>
  <c r="AL31" i="7"/>
  <c r="O31" i="7"/>
  <c r="BL30" i="7"/>
  <c r="BG30" i="7"/>
  <c r="BF30" i="7"/>
  <c r="AS30" i="7"/>
  <c r="AR30" i="7"/>
  <c r="AO30" i="7"/>
  <c r="AN30" i="7"/>
  <c r="AL30" i="7"/>
  <c r="O30" i="7"/>
  <c r="BL29" i="7"/>
  <c r="BG29" i="7"/>
  <c r="BF29" i="7"/>
  <c r="AS29" i="7"/>
  <c r="AR29" i="7"/>
  <c r="AO29" i="7"/>
  <c r="AN29" i="7"/>
  <c r="AL29" i="7"/>
  <c r="O29" i="7"/>
  <c r="BL28" i="7"/>
  <c r="BG28" i="7"/>
  <c r="BF28" i="7"/>
  <c r="AS28" i="7"/>
  <c r="AR28" i="7"/>
  <c r="AO28" i="7"/>
  <c r="AN28" i="7"/>
  <c r="AL28" i="7"/>
  <c r="O28" i="7"/>
  <c r="BL27" i="7"/>
  <c r="BG27" i="7"/>
  <c r="BF27" i="7"/>
  <c r="AS27" i="7"/>
  <c r="AR27" i="7"/>
  <c r="AO27" i="7"/>
  <c r="AN27" i="7"/>
  <c r="AL27" i="7"/>
  <c r="O27" i="7"/>
  <c r="BL26" i="7"/>
  <c r="BG26" i="7"/>
  <c r="BF26" i="7"/>
  <c r="AS26" i="7"/>
  <c r="AR26" i="7"/>
  <c r="AO26" i="7"/>
  <c r="AN26" i="7"/>
  <c r="AL26" i="7"/>
  <c r="O26" i="7"/>
  <c r="BL25" i="7"/>
  <c r="BG25" i="7"/>
  <c r="BF25" i="7"/>
  <c r="AS25" i="7"/>
  <c r="AR25" i="7"/>
  <c r="AO25" i="7"/>
  <c r="AN25" i="7"/>
  <c r="AM25" i="7"/>
  <c r="AL25" i="7"/>
  <c r="O25" i="7"/>
  <c r="BL24" i="7"/>
  <c r="BG24" i="7"/>
  <c r="BF24" i="7"/>
  <c r="AS24" i="7"/>
  <c r="AR24" i="7"/>
  <c r="AO24" i="7"/>
  <c r="AN24" i="7"/>
  <c r="AL24" i="7"/>
  <c r="O24" i="7"/>
  <c r="BL23" i="7"/>
  <c r="BG23" i="7"/>
  <c r="BF23" i="7"/>
  <c r="AS23" i="7"/>
  <c r="AR23" i="7"/>
  <c r="AO23" i="7"/>
  <c r="AN23" i="7"/>
  <c r="AL23" i="7"/>
  <c r="O23" i="7"/>
  <c r="BL22" i="7"/>
  <c r="BG22" i="7"/>
  <c r="BF22" i="7"/>
  <c r="AS22" i="7"/>
  <c r="AR22" i="7"/>
  <c r="AO22" i="7"/>
  <c r="AN22" i="7"/>
  <c r="AL22" i="7"/>
  <c r="O22" i="7"/>
  <c r="BL20" i="7"/>
  <c r="BG20" i="7"/>
  <c r="BF20" i="7"/>
  <c r="AS20" i="7"/>
  <c r="AR20" i="7"/>
  <c r="AO20" i="7"/>
  <c r="AN20" i="7"/>
  <c r="AL20" i="7"/>
  <c r="O20" i="7"/>
  <c r="BL19" i="7"/>
  <c r="BG19" i="7"/>
  <c r="BF19" i="7"/>
  <c r="AS19" i="7"/>
  <c r="AR19" i="7"/>
  <c r="AO19" i="7"/>
  <c r="AN19" i="7"/>
  <c r="AL19" i="7"/>
  <c r="O19" i="7"/>
  <c r="BL18" i="7"/>
  <c r="BG18" i="7"/>
  <c r="BF18" i="7"/>
  <c r="AS18" i="7"/>
  <c r="AR18" i="7"/>
  <c r="AO18" i="7"/>
  <c r="AN18" i="7"/>
  <c r="AL18" i="7"/>
  <c r="O18" i="7"/>
  <c r="BL17" i="7"/>
  <c r="BG17" i="7"/>
  <c r="BF17" i="7"/>
  <c r="AS17" i="7"/>
  <c r="AO17" i="7"/>
  <c r="AN17" i="7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D52" i="3"/>
  <c r="E35" i="3"/>
  <c r="E34" i="3"/>
  <c r="E33" i="3"/>
  <c r="E32" i="3"/>
  <c r="E31" i="3"/>
  <c r="E30" i="3"/>
  <c r="J25" i="3"/>
  <c r="E25" i="3"/>
  <c r="J22" i="3"/>
  <c r="E22" i="3"/>
  <c r="J21" i="3"/>
  <c r="E21" i="3"/>
  <c r="E20" i="3"/>
  <c r="J19" i="3"/>
  <c r="E19" i="3"/>
  <c r="J18" i="3"/>
  <c r="E18" i="3"/>
  <c r="J17" i="3"/>
  <c r="E17" i="3"/>
  <c r="J16" i="3"/>
  <c r="E16" i="3"/>
  <c r="J15" i="3"/>
  <c r="E15" i="3"/>
  <c r="J14" i="3"/>
  <c r="E14" i="3"/>
  <c r="J11" i="3"/>
  <c r="J10" i="3"/>
  <c r="J9" i="3"/>
  <c r="C9" i="3"/>
  <c r="J8" i="3"/>
  <c r="C8" i="3"/>
  <c r="J7" i="3"/>
  <c r="C7" i="3"/>
  <c r="J6" i="3"/>
  <c r="C6" i="3"/>
  <c r="J5" i="3"/>
  <c r="C5" i="3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AM56" i="7" s="1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G6" i="2"/>
  <c r="G7" i="2" s="1"/>
  <c r="G8" i="2" s="1"/>
  <c r="G9" i="2" s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BP17" i="7" l="1"/>
  <c r="BL8" i="7"/>
  <c r="AK7" i="7"/>
  <c r="BD7" i="7" s="1"/>
  <c r="AK25" i="7"/>
  <c r="BD25" i="7" s="1"/>
  <c r="AK9" i="7"/>
  <c r="BD9" i="7" s="1"/>
  <c r="G10" i="2"/>
  <c r="G11" i="2" s="1"/>
  <c r="G12" i="2" s="1"/>
  <c r="G13" i="2" s="1"/>
  <c r="G14" i="2" s="1"/>
  <c r="G15" i="2" s="1"/>
  <c r="G16" i="2" s="1"/>
  <c r="G17" i="2" s="1"/>
  <c r="AK26" i="7"/>
  <c r="BD26" i="7" s="1"/>
  <c r="AM36" i="7"/>
  <c r="AM27" i="7"/>
  <c r="AM28" i="7"/>
  <c r="AM29" i="7"/>
  <c r="BD11" i="7"/>
  <c r="AM55" i="7"/>
  <c r="BP22" i="7"/>
  <c r="BP23" i="7"/>
  <c r="BP28" i="7"/>
  <c r="BP30" i="7"/>
  <c r="BP35" i="7"/>
  <c r="BP60" i="7"/>
  <c r="BP54" i="7"/>
  <c r="BP57" i="7"/>
  <c r="BP61" i="7"/>
  <c r="BP39" i="7"/>
  <c r="BP9" i="7"/>
  <c r="BP11" i="7"/>
  <c r="BD57" i="7"/>
  <c r="BP12" i="7"/>
  <c r="BP7" i="7"/>
  <c r="BP19" i="7"/>
  <c r="BP29" i="7"/>
  <c r="BP40" i="7"/>
  <c r="BP44" i="7"/>
  <c r="BP56" i="7"/>
  <c r="BP58" i="7"/>
  <c r="BP59" i="7"/>
  <c r="BD61" i="7"/>
  <c r="BP25" i="7"/>
  <c r="BP27" i="7"/>
  <c r="BP33" i="7"/>
  <c r="BD58" i="7"/>
  <c r="BP26" i="7"/>
  <c r="BP34" i="7"/>
  <c r="BP38" i="7"/>
  <c r="BD42" i="7"/>
  <c r="BP55" i="7"/>
  <c r="BD59" i="7"/>
  <c r="BD12" i="7"/>
  <c r="BP36" i="7"/>
  <c r="BD38" i="7"/>
  <c r="BP43" i="7"/>
  <c r="BP42" i="7"/>
  <c r="BD40" i="7"/>
  <c r="BP37" i="7"/>
  <c r="BP24" i="7"/>
  <c r="BP20" i="7"/>
  <c r="BP18" i="7"/>
  <c r="BP32" i="7"/>
  <c r="BP31" i="7"/>
  <c r="BD43" i="7"/>
  <c r="BD39" i="7"/>
  <c r="BD64" i="7"/>
  <c r="BS64" i="7" s="1"/>
  <c r="BD44" i="7"/>
  <c r="BD60" i="7"/>
  <c r="BD62" i="7"/>
  <c r="BS62" i="7" s="1"/>
  <c r="BD63" i="7"/>
  <c r="BS63" i="7" s="1"/>
  <c r="BS40" i="7" l="1"/>
  <c r="BS38" i="7"/>
  <c r="BS57" i="7"/>
  <c r="BS39" i="7"/>
  <c r="BS58" i="7"/>
  <c r="BS60" i="7"/>
  <c r="BS44" i="7"/>
  <c r="BS43" i="7"/>
  <c r="BS59" i="7"/>
  <c r="BS42" i="7"/>
  <c r="BS61" i="7"/>
  <c r="BP8" i="7"/>
  <c r="BS26" i="7"/>
  <c r="BS7" i="7"/>
  <c r="BS12" i="7"/>
  <c r="AK34" i="7"/>
  <c r="BD34" i="7" s="1"/>
  <c r="BS34" i="7" s="1"/>
  <c r="G18" i="2"/>
  <c r="G19" i="2" s="1"/>
  <c r="G20" i="2" s="1"/>
  <c r="G21" i="2" s="1"/>
  <c r="G22" i="2" s="1"/>
  <c r="G23" i="2" s="1"/>
  <c r="G24" i="2" s="1"/>
  <c r="G25" i="2" s="1"/>
  <c r="BS25" i="7"/>
  <c r="BS9" i="7"/>
  <c r="BS11" i="7"/>
  <c r="AK37" i="7" l="1"/>
  <c r="BD37" i="7" s="1"/>
  <c r="BS37" i="7" s="1"/>
  <c r="AK36" i="7"/>
  <c r="BD36" i="7" s="1"/>
  <c r="BS36" i="7" s="1"/>
  <c r="AK24" i="7"/>
  <c r="BD24" i="7" s="1"/>
  <c r="BS24" i="7" s="1"/>
  <c r="AK35" i="7"/>
  <c r="BS35" i="7" s="1"/>
  <c r="AK55" i="7"/>
  <c r="BD55" i="7" s="1"/>
  <c r="BS55" i="7" s="1"/>
  <c r="G26" i="2"/>
  <c r="G27" i="2" s="1"/>
  <c r="G28" i="2" s="1"/>
  <c r="G29" i="2" s="1"/>
  <c r="AK33" i="7"/>
  <c r="BD33" i="7" s="1"/>
  <c r="BS33" i="7" s="1"/>
  <c r="AK32" i="7"/>
  <c r="BD32" i="7" s="1"/>
  <c r="BS32" i="7" s="1"/>
  <c r="AK19" i="7"/>
  <c r="BD19" i="7" s="1"/>
  <c r="BS19" i="7" s="1"/>
  <c r="AK29" i="7"/>
  <c r="BD29" i="7" s="1"/>
  <c r="BS29" i="7" s="1"/>
  <c r="AK28" i="7"/>
  <c r="BD28" i="7" s="1"/>
  <c r="BS28" i="7" s="1"/>
  <c r="AK10" i="7" l="1"/>
  <c r="BD10" i="7" s="1"/>
  <c r="BS10" i="7" s="1"/>
  <c r="AK27" i="7"/>
  <c r="BD27" i="7" s="1"/>
  <c r="BS27" i="7" s="1"/>
  <c r="G30" i="2"/>
  <c r="G31" i="2" s="1"/>
  <c r="G32" i="2" l="1"/>
  <c r="G33" i="2" s="1"/>
  <c r="G34" i="2" s="1"/>
  <c r="G35" i="2" s="1"/>
  <c r="AK17" i="7" s="1"/>
  <c r="BD17" i="7" s="1"/>
  <c r="BS17" i="7" s="1"/>
  <c r="AK31" i="7"/>
  <c r="BD31" i="7" s="1"/>
  <c r="BS31" i="7" s="1"/>
  <c r="AK30" i="7" l="1"/>
  <c r="BD30" i="7" s="1"/>
  <c r="BS30" i="7" s="1"/>
  <c r="G36" i="2"/>
  <c r="G37" i="2" s="1"/>
  <c r="G38" i="2" s="1"/>
  <c r="G39" i="2" s="1"/>
  <c r="G40" i="2" s="1"/>
  <c r="G41" i="2" s="1"/>
  <c r="G42" i="2" s="1"/>
  <c r="G43" i="2" s="1"/>
  <c r="G44" i="2" s="1"/>
  <c r="G45" i="2" s="1"/>
  <c r="AK8" i="7"/>
  <c r="BD8" i="7" s="1"/>
  <c r="BS8" i="7" l="1"/>
  <c r="G46" i="2"/>
  <c r="G47" i="2" s="1"/>
  <c r="G48" i="2" s="1"/>
  <c r="G49" i="2" s="1"/>
  <c r="G50" i="2" s="1"/>
  <c r="G51" i="2" s="1"/>
  <c r="AK23" i="7"/>
  <c r="BD23" i="7" s="1"/>
  <c r="BS23" i="7" s="1"/>
  <c r="AK22" i="7"/>
  <c r="BD22" i="7" s="1"/>
  <c r="BS22" i="7" s="1"/>
  <c r="G52" i="2" l="1"/>
  <c r="G53" i="2" s="1"/>
  <c r="G54" i="2" s="1"/>
  <c r="AK20" i="7"/>
  <c r="BD20" i="7" s="1"/>
  <c r="BS20" i="7" s="1"/>
  <c r="AK54" i="7" l="1"/>
  <c r="G55" i="2"/>
  <c r="BD54" i="7" l="1"/>
  <c r="BS54" i="7" s="1"/>
  <c r="AK56" i="7"/>
  <c r="BD56" i="7" s="1"/>
  <c r="BS56" i="7" s="1"/>
  <c r="G56" i="2"/>
  <c r="G57" i="2" s="1"/>
  <c r="G58" i="2" s="1"/>
  <c r="G59" i="2" s="1"/>
  <c r="G60" i="2" s="1"/>
  <c r="G61" i="2" s="1"/>
  <c r="G62" i="2" s="1"/>
  <c r="G63" i="2" s="1"/>
  <c r="G64" i="2" s="1"/>
  <c r="G65" i="2" s="1"/>
  <c r="AK18" i="7" l="1"/>
  <c r="BD18" i="7" s="1"/>
  <c r="G66" i="2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BS18" i="7" l="1"/>
  <c r="BS6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15" authorId="0" shapeId="0" xr:uid="{00000000-0006-0000-0000-000001000000}">
      <text>
        <r>
          <rPr>
            <sz val="1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tambahan wafa</t>
        </r>
      </text>
    </comment>
    <comment ref="AD18" authorId="0" shapeId="0" xr:uid="{00000000-0006-0000-0000-000002000000}">
      <text>
        <r>
          <rPr>
            <b/>
            <sz val="10"/>
            <rFont val="Tahoma"/>
            <family val="2"/>
          </rPr>
          <t xml:space="preserve">Microsoft Office User:
</t>
        </r>
        <r>
          <rPr>
            <sz val="10"/>
            <rFont val="Tahoma"/>
            <family val="2"/>
          </rPr>
          <t>penambahan hari kerja minimal</t>
        </r>
      </text>
    </comment>
    <comment ref="AD21" authorId="0" shapeId="0" xr:uid="{00000000-0006-0000-0000-000003000000}">
      <text>
        <r>
          <rPr>
            <b/>
            <sz val="10"/>
            <rFont val="Tahoma"/>
            <family val="2"/>
          </rPr>
          <t xml:space="preserve">Microsoft Office User:
</t>
        </r>
        <r>
          <rPr>
            <sz val="10"/>
            <rFont val="Tahoma"/>
            <family val="2"/>
          </rPr>
          <t>penambahan hari kerja minimal</t>
        </r>
      </text>
    </comment>
    <comment ref="AD24" authorId="0" shapeId="0" xr:uid="{00000000-0006-0000-0000-000004000000}">
      <text>
        <r>
          <rPr>
            <b/>
            <sz val="10"/>
            <rFont val="Tahoma"/>
            <family val="2"/>
          </rPr>
          <t xml:space="preserve">Microsoft Office User:
</t>
        </r>
        <r>
          <rPr>
            <sz val="10"/>
            <rFont val="Tahoma"/>
            <family val="2"/>
          </rPr>
          <t>penambahan hari kerja minimal</t>
        </r>
      </text>
    </comment>
    <comment ref="AD35" authorId="0" shapeId="0" xr:uid="{00000000-0006-0000-0000-000005000000}">
      <text>
        <r>
          <rPr>
            <b/>
            <sz val="10"/>
            <rFont val="Tahoma"/>
            <family val="2"/>
          </rPr>
          <t xml:space="preserve">Microsoft Office User:
</t>
        </r>
        <r>
          <rPr>
            <sz val="10"/>
            <rFont val="Tahoma"/>
            <family val="2"/>
          </rPr>
          <t>penambahan hari kerja minimal</t>
        </r>
      </text>
    </comment>
    <comment ref="AA36" authorId="0" shapeId="0" xr:uid="{00000000-0006-0000-0000-000006000000}">
      <text>
        <r>
          <rPr>
            <b/>
            <sz val="9"/>
            <rFont val="Tahoma"/>
            <family val="2"/>
          </rPr>
          <t xml:space="preserve">HP:
</t>
        </r>
        <r>
          <rPr>
            <sz val="9"/>
            <rFont val="Tahoma"/>
            <family val="2"/>
          </rPr>
          <t>Menggantikan U Rika</t>
        </r>
      </text>
    </comment>
    <comment ref="AD36" authorId="0" shapeId="0" xr:uid="{00000000-0006-0000-0000-000007000000}">
      <text>
        <r>
          <rPr>
            <b/>
            <sz val="10"/>
            <rFont val="Tahoma"/>
            <family val="2"/>
          </rPr>
          <t xml:space="preserve">Microsoft Office User:
</t>
        </r>
        <r>
          <rPr>
            <sz val="10"/>
            <rFont val="Tahoma"/>
            <family val="2"/>
          </rPr>
          <t>penambahan hari kerja minimal</t>
        </r>
      </text>
    </comment>
    <comment ref="AD39" authorId="0" shapeId="0" xr:uid="{00000000-0006-0000-0000-000008000000}">
      <text>
        <r>
          <rPr>
            <b/>
            <sz val="10"/>
            <rFont val="Tahoma"/>
            <family val="2"/>
          </rPr>
          <t xml:space="preserve">Microsoft Office User:
</t>
        </r>
        <r>
          <rPr>
            <sz val="10"/>
            <rFont val="Tahoma"/>
            <family val="2"/>
          </rPr>
          <t>penambahan hari kerja minimal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Nanik Sriyani</author>
  </authors>
  <commentList>
    <comment ref="B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Nanik Sriyani:</t>
        </r>
        <r>
          <rPr>
            <sz val="9"/>
            <color indexed="81"/>
            <rFont val="Tahoma"/>
            <family val="2"/>
          </rPr>
          <t xml:space="preserve">
SPP nesha : 300.000/bulan
Biaya masuk TK : 3.350.000
total : 6.650.000</t>
        </r>
      </text>
    </comment>
    <comment ref="D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Nanik Sriyani:</t>
        </r>
        <r>
          <rPr>
            <sz val="9"/>
            <color indexed="81"/>
            <rFont val="Tahoma"/>
            <family val="2"/>
          </rPr>
          <t xml:space="preserve">
uang formulir</t>
        </r>
      </text>
    </comment>
    <comment ref="E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Nanik Sriyani:</t>
        </r>
        <r>
          <rPr>
            <sz val="9"/>
            <color indexed="81"/>
            <rFont val="Tahoma"/>
            <family val="2"/>
          </rPr>
          <t xml:space="preserve">
spp bulan agustus - september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SDIT MI</author>
  </authors>
  <commentList>
    <comment ref="Q30" authorId="0" shapeId="0" xr:uid="{D85F44CB-0EE6-4991-B42A-E46C43309ADD}">
      <text>
        <r>
          <rPr>
            <b/>
            <sz val="9"/>
            <color indexed="81"/>
            <rFont val="Tahoma"/>
            <charset val="1"/>
          </rPr>
          <t>SDIT MI:</t>
        </r>
        <r>
          <rPr>
            <sz val="9"/>
            <color indexed="81"/>
            <rFont val="Tahoma"/>
            <charset val="1"/>
          </rPr>
          <t xml:space="preserve">
cuti melahirkan
</t>
        </r>
      </text>
    </comment>
    <comment ref="S34" authorId="0" shapeId="0" xr:uid="{570D0979-DD6D-41B1-82A6-2966E69740C9}">
      <text>
        <r>
          <rPr>
            <b/>
            <sz val="9"/>
            <color indexed="81"/>
            <rFont val="Tahoma"/>
            <family val="2"/>
          </rPr>
          <t>SDIT MI:</t>
        </r>
        <r>
          <rPr>
            <sz val="9"/>
            <color indexed="81"/>
            <rFont val="Tahoma"/>
            <family val="2"/>
          </rPr>
          <t xml:space="preserve">
tgl 6 izin dtang terlambat karna mengurus ibu</t>
        </r>
      </text>
    </comment>
    <comment ref="S37" authorId="0" shapeId="0" xr:uid="{1620836F-C06D-4702-BB71-30BD58225F4C}">
      <text>
        <r>
          <rPr>
            <b/>
            <sz val="9"/>
            <color indexed="81"/>
            <rFont val="Tahoma"/>
            <family val="2"/>
          </rPr>
          <t>SDIT MI:</t>
        </r>
        <r>
          <rPr>
            <sz val="9"/>
            <color indexed="81"/>
            <rFont val="Tahoma"/>
            <family val="2"/>
          </rPr>
          <t xml:space="preserve">
tgl 24 datang jam 10.20 (izin antar nenek ke RS)</t>
        </r>
      </text>
    </comment>
    <comment ref="S45" authorId="0" shapeId="0" xr:uid="{7F1F3A74-EA54-42B7-A6DF-5E5EDF6FD69F}">
      <text>
        <r>
          <rPr>
            <b/>
            <sz val="9"/>
            <color indexed="81"/>
            <rFont val="Tahoma"/>
            <family val="2"/>
          </rPr>
          <t>SDIT MI:</t>
        </r>
        <r>
          <rPr>
            <sz val="9"/>
            <color indexed="81"/>
            <rFont val="Tahoma"/>
            <family val="2"/>
          </rPr>
          <t xml:space="preserve">
tgl 25 izin datang terlambat karena sakit gigi</t>
        </r>
      </text>
    </comment>
  </commentList>
</comments>
</file>

<file path=xl/sharedStrings.xml><?xml version="1.0" encoding="utf-8"?>
<sst xmlns="http://schemas.openxmlformats.org/spreadsheetml/2006/main" count="2464" uniqueCount="1061">
  <si>
    <t>DATA ABSENSI SDM YAYASAN BINA INSAN MULIA BATAM PER TMT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</si>
  <si>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</si>
  <si>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</si>
  <si>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</si>
  <si>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</si>
  <si>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</si>
  <si>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</si>
  <si>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</si>
  <si>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</si>
  <si>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</si>
  <si>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</si>
  <si>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</si>
  <si>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</si>
  <si>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</si>
  <si>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</si>
  <si>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</si>
  <si>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</si>
  <si>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</si>
  <si>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</si>
  <si>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</si>
  <si>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</si>
  <si>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</si>
  <si>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</si>
  <si>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</si>
  <si>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</si>
  <si>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</si>
  <si>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</si>
  <si>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</si>
  <si>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</si>
  <si>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</si>
  <si>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</si>
  <si>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</si>
  <si>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</si>
  <si>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</si>
  <si>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</si>
  <si>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No</t>
  </si>
  <si>
    <t>KODESLIP</t>
  </si>
  <si>
    <t>NAMA</t>
  </si>
  <si>
    <t>NRK</t>
  </si>
  <si>
    <t>UNIT</t>
  </si>
  <si>
    <t>TTL</t>
  </si>
  <si>
    <t>JOIN DATE</t>
  </si>
  <si>
    <t>MASA KERJA</t>
  </si>
  <si>
    <t>STATUS KARY.</t>
  </si>
  <si>
    <t>STATUS PERNIKAHAN</t>
  </si>
  <si>
    <t>PENDIDIKAN</t>
  </si>
  <si>
    <t>GRADE</t>
  </si>
  <si>
    <t>GRADE KHUSUS</t>
  </si>
  <si>
    <t>JABATAN</t>
  </si>
  <si>
    <t>KODE JABATAN</t>
  </si>
  <si>
    <t>JML HARI KERJA</t>
  </si>
  <si>
    <t>ON TIME</t>
  </si>
  <si>
    <t>TELAT</t>
  </si>
  <si>
    <t>SAKIT</t>
  </si>
  <si>
    <t>IZIN</t>
  </si>
  <si>
    <t>TANPA KET.</t>
  </si>
  <si>
    <t>ESKUL  PRAMUKA</t>
  </si>
  <si>
    <t>INST. RENANG</t>
  </si>
  <si>
    <t>ASST. RENANG</t>
  </si>
  <si>
    <t>TUGAS DI HR. KERJA</t>
  </si>
  <si>
    <t>TGS. DI HR. LIBUR</t>
  </si>
  <si>
    <t>TAMBAH JAM M'AJAR</t>
  </si>
  <si>
    <t>DAYCARE BAYI</t>
  </si>
  <si>
    <t>DAY CARE ANAK PG-TK</t>
  </si>
  <si>
    <t>MASUK MALAM</t>
  </si>
  <si>
    <t>MUSRIF/AH</t>
  </si>
  <si>
    <t>NIHIL</t>
  </si>
  <si>
    <t>SLP001</t>
  </si>
  <si>
    <t>KARLINA</t>
  </si>
  <si>
    <t>210.0005</t>
  </si>
  <si>
    <t>TKIT</t>
  </si>
  <si>
    <t>Madiun, 21 April 1977</t>
  </si>
  <si>
    <t>TETAP</t>
  </si>
  <si>
    <t>BM</t>
  </si>
  <si>
    <t>SMA</t>
  </si>
  <si>
    <t>IA</t>
  </si>
  <si>
    <t>IA5</t>
  </si>
  <si>
    <t>ADR</t>
  </si>
  <si>
    <t>SLP002</t>
  </si>
  <si>
    <t>MUNADIROH</t>
  </si>
  <si>
    <t>210.0008</t>
  </si>
  <si>
    <t>SDIT</t>
  </si>
  <si>
    <t>Jember, 12 Desember 1985</t>
  </si>
  <si>
    <t>M3</t>
  </si>
  <si>
    <t>S1</t>
  </si>
  <si>
    <t>IIC</t>
  </si>
  <si>
    <t>IIIA1</t>
  </si>
  <si>
    <t>KAD</t>
  </si>
  <si>
    <t>SLP003</t>
  </si>
  <si>
    <t>ESTI SUSILOWATI</t>
  </si>
  <si>
    <t>210.0010</t>
  </si>
  <si>
    <t>Sleman, 19 Maret 1980</t>
  </si>
  <si>
    <t>IC</t>
  </si>
  <si>
    <t>IIA1</t>
  </si>
  <si>
    <t>KAR</t>
  </si>
  <si>
    <t>SLP004</t>
  </si>
  <si>
    <t>DORIOMAS</t>
  </si>
  <si>
    <t>210.0013</t>
  </si>
  <si>
    <t>Purba Bangun, 01 April 1971</t>
  </si>
  <si>
    <t>M5</t>
  </si>
  <si>
    <t>PKR</t>
  </si>
  <si>
    <t>SLP005</t>
  </si>
  <si>
    <t>SITI MUTOFIAH</t>
  </si>
  <si>
    <t>210.0017</t>
  </si>
  <si>
    <t>Nganjuk 19-12-1986</t>
  </si>
  <si>
    <t>M2</t>
  </si>
  <si>
    <t>IC5</t>
  </si>
  <si>
    <t>WAR</t>
  </si>
  <si>
    <t>SLP006</t>
  </si>
  <si>
    <t>SITI MASITOH</t>
  </si>
  <si>
    <t>211.0020</t>
  </si>
  <si>
    <t>Lamongan, 06-06-1980</t>
  </si>
  <si>
    <t>IB</t>
  </si>
  <si>
    <t>IB5</t>
  </si>
  <si>
    <t>WAD</t>
  </si>
  <si>
    <t>SLP007</t>
  </si>
  <si>
    <t>NANIK SRIYANI</t>
  </si>
  <si>
    <t>212.0030</t>
  </si>
  <si>
    <t>Karanganyar, 06-02-1983</t>
  </si>
  <si>
    <t>M1</t>
  </si>
  <si>
    <t>IIB</t>
  </si>
  <si>
    <t>IIB7</t>
  </si>
  <si>
    <t>KDV</t>
  </si>
  <si>
    <t>SLP008</t>
  </si>
  <si>
    <t>JENI ABDUL AZIZ</t>
  </si>
  <si>
    <t>213.0037</t>
  </si>
  <si>
    <t>Tasikmalaya, 08-02-1991</t>
  </si>
  <si>
    <t>SLP009</t>
  </si>
  <si>
    <t>SURYANA</t>
  </si>
  <si>
    <t>214.0054</t>
  </si>
  <si>
    <t>SMPIT</t>
  </si>
  <si>
    <t>Tembilahan, 12-09-1989</t>
  </si>
  <si>
    <t>IIB10</t>
  </si>
  <si>
    <t>WAP</t>
  </si>
  <si>
    <t>SLP010</t>
  </si>
  <si>
    <t>JUMAINI</t>
  </si>
  <si>
    <t>214.0064</t>
  </si>
  <si>
    <t>Desa Bantan, 21-01-1984</t>
  </si>
  <si>
    <t>KYP</t>
  </si>
  <si>
    <t>SLP011</t>
  </si>
  <si>
    <t>ERLINA SAGALA</t>
  </si>
  <si>
    <t>215.0065</t>
  </si>
  <si>
    <t>Jumah, 16-06-1984</t>
  </si>
  <si>
    <t>IC1</t>
  </si>
  <si>
    <t>SLP012</t>
  </si>
  <si>
    <t>AYEP</t>
  </si>
  <si>
    <t>216.0084</t>
  </si>
  <si>
    <t>Bandung, 10-04-1992</t>
  </si>
  <si>
    <t>SLP013</t>
  </si>
  <si>
    <t>RAHMAT TRI FAJRA</t>
  </si>
  <si>
    <t>216.0083</t>
  </si>
  <si>
    <t>Gumaranga, 09-03-1992</t>
  </si>
  <si>
    <t>IIB1</t>
  </si>
  <si>
    <t>SLP014</t>
  </si>
  <si>
    <t>RIKA AMRIANI</t>
  </si>
  <si>
    <t>217.0097</t>
  </si>
  <si>
    <t>Bengkulu, 29-09-1990</t>
  </si>
  <si>
    <t>IB9</t>
  </si>
  <si>
    <t>WKD</t>
  </si>
  <si>
    <t>SLP015</t>
  </si>
  <si>
    <t>SUPARNI</t>
  </si>
  <si>
    <t>217.0100</t>
  </si>
  <si>
    <t>Sleman, 17-04-1971</t>
  </si>
  <si>
    <t>KONTRAK</t>
  </si>
  <si>
    <t>M4</t>
  </si>
  <si>
    <t>PKD</t>
  </si>
  <si>
    <t>SLP016</t>
  </si>
  <si>
    <t>SUYADI</t>
  </si>
  <si>
    <t>217.0102</t>
  </si>
  <si>
    <t>Magetan, 05-05-1974</t>
  </si>
  <si>
    <t>IA3</t>
  </si>
  <si>
    <t>PKY</t>
  </si>
  <si>
    <t>SLP017</t>
  </si>
  <si>
    <t>ATIKAH</t>
  </si>
  <si>
    <t>218.0106</t>
  </si>
  <si>
    <t>Batam, 09 November 1994</t>
  </si>
  <si>
    <t>M0</t>
  </si>
  <si>
    <t>GQD</t>
  </si>
  <si>
    <t>SLP018</t>
  </si>
  <si>
    <t>MHD TAUFIK NASUTION</t>
  </si>
  <si>
    <t>218.0109</t>
  </si>
  <si>
    <t>Simalungun, 09 September 1995</t>
  </si>
  <si>
    <t>MO</t>
  </si>
  <si>
    <t>IIC1</t>
  </si>
  <si>
    <t>KAP</t>
  </si>
  <si>
    <t>SLP019</t>
  </si>
  <si>
    <t>UMMI LATIFAH</t>
  </si>
  <si>
    <t>218.0110</t>
  </si>
  <si>
    <t>Pemalang,  25 Januari 1995</t>
  </si>
  <si>
    <t>WADD</t>
  </si>
  <si>
    <t>SLP020</t>
  </si>
  <si>
    <t>MARISA SHINTA</t>
  </si>
  <si>
    <t>218.0114</t>
  </si>
  <si>
    <t>Batam,  18 Juli 1999</t>
  </si>
  <si>
    <t>IB3</t>
  </si>
  <si>
    <t>SLP021</t>
  </si>
  <si>
    <t>ARIS WIDARSO</t>
  </si>
  <si>
    <t>218.0116</t>
  </si>
  <si>
    <t>Kendal,  19 Januari 1993</t>
  </si>
  <si>
    <t>SLP022</t>
  </si>
  <si>
    <t>NOVITA PUTRI FATMA</t>
  </si>
  <si>
    <t>218.0120</t>
  </si>
  <si>
    <t>Sidoarjo,  08 September 2000</t>
  </si>
  <si>
    <t>20-Agust-2018</t>
  </si>
  <si>
    <t>IB1</t>
  </si>
  <si>
    <t>WKR</t>
  </si>
  <si>
    <t>SLP023</t>
  </si>
  <si>
    <t>IZA FARIDATUL AMALIA</t>
  </si>
  <si>
    <t>218.0119</t>
  </si>
  <si>
    <t>Jember,  14 Oktober 2000</t>
  </si>
  <si>
    <t>IA1</t>
  </si>
  <si>
    <t>SLP024</t>
  </si>
  <si>
    <t>LISTIA NURULITA</t>
  </si>
  <si>
    <t>219.0126</t>
  </si>
  <si>
    <t>YAYASAN</t>
  </si>
  <si>
    <t>Banyumas, 7 Maret 1979</t>
  </si>
  <si>
    <t>SAY</t>
  </si>
  <si>
    <t>SLP025</t>
  </si>
  <si>
    <t>WIDIYANTI</t>
  </si>
  <si>
    <t>219.0136</t>
  </si>
  <si>
    <t>Pekauman Kulon, 16 Juni 1990</t>
  </si>
  <si>
    <t>15 Oktober 2019</t>
  </si>
  <si>
    <t>SLP026</t>
  </si>
  <si>
    <t>ADE PIRDANA P</t>
  </si>
  <si>
    <t>219.0140</t>
  </si>
  <si>
    <t>Kumpulan, 23 Desember 1993</t>
  </si>
  <si>
    <t>GMD</t>
  </si>
  <si>
    <t>SLP027</t>
  </si>
  <si>
    <t>SRI INDRA WAHYUNI</t>
  </si>
  <si>
    <t>219.0137</t>
  </si>
  <si>
    <t>Dumai, 01 September 1994</t>
  </si>
  <si>
    <t>S2</t>
  </si>
  <si>
    <t>wadd</t>
  </si>
  <si>
    <t>SLP028</t>
  </si>
  <si>
    <t>MOCHAMAD TOYIB</t>
  </si>
  <si>
    <t>219.0141</t>
  </si>
  <si>
    <t>Batam, 31 Juli 1997</t>
  </si>
  <si>
    <t>19 Oktober 2019</t>
  </si>
  <si>
    <t>IA7</t>
  </si>
  <si>
    <t>SLP029</t>
  </si>
  <si>
    <t>DESI MUTIARA</t>
  </si>
  <si>
    <t>219.0145</t>
  </si>
  <si>
    <t>Prabumulih, 22 Desember 1995</t>
  </si>
  <si>
    <t>SLP030</t>
  </si>
  <si>
    <t xml:space="preserve">ANDY </t>
  </si>
  <si>
    <t>220.0146</t>
  </si>
  <si>
    <t>Batam, 8 Januari 1996</t>
  </si>
  <si>
    <t>3 Januari 2020</t>
  </si>
  <si>
    <t>SLP031</t>
  </si>
  <si>
    <t>DENNI SUKMA</t>
  </si>
  <si>
    <t>220.0148</t>
  </si>
  <si>
    <t>Padang, 22 Januari 1986</t>
  </si>
  <si>
    <t>3 Februari 2020</t>
  </si>
  <si>
    <t>SLP032</t>
  </si>
  <si>
    <t>CICI HAFSHAH SIPAHUTAR</t>
  </si>
  <si>
    <t>220.0149</t>
  </si>
  <si>
    <t>Bandar Selamat, 11 Oktober 1992</t>
  </si>
  <si>
    <t>IC7</t>
  </si>
  <si>
    <t>SLP033</t>
  </si>
  <si>
    <t>ELSI ERIES SANTI</t>
  </si>
  <si>
    <t>220.0151</t>
  </si>
  <si>
    <t>Teluk Kuantan,13 September 1991</t>
  </si>
  <si>
    <t>24 Februari 2020</t>
  </si>
  <si>
    <t>IB7</t>
  </si>
  <si>
    <t>SLP034</t>
  </si>
  <si>
    <t>DEWI PRATIWI</t>
  </si>
  <si>
    <t>220.0152</t>
  </si>
  <si>
    <t>Tangkahan Durian, 5 Desember 1995</t>
  </si>
  <si>
    <t>25 Februari 2020</t>
  </si>
  <si>
    <t>SLP035</t>
  </si>
  <si>
    <t>HANNA NUR HAFAZAH</t>
  </si>
  <si>
    <t>220.0155</t>
  </si>
  <si>
    <t>DKI Jakarta, 14 Agustus 1995</t>
  </si>
  <si>
    <t>6 Juli 2020</t>
  </si>
  <si>
    <t>S-1</t>
  </si>
  <si>
    <t>GQP</t>
  </si>
  <si>
    <t>SLP036</t>
  </si>
  <si>
    <t>SUSI MARLITA</t>
  </si>
  <si>
    <t>220.0157</t>
  </si>
  <si>
    <t>Medan, 31 Maret 1978</t>
  </si>
  <si>
    <t>7 Oktober 2020</t>
  </si>
  <si>
    <t>D-3</t>
  </si>
  <si>
    <t>SLP037</t>
  </si>
  <si>
    <t>ESA YUSUF EFFENDI</t>
  </si>
  <si>
    <t>221.0163</t>
  </si>
  <si>
    <t>Tanjung Uban, 28 September 1999</t>
  </si>
  <si>
    <t>11 Juli 2021</t>
  </si>
  <si>
    <t>SLP038</t>
  </si>
  <si>
    <t>RAMA SATRIA</t>
  </si>
  <si>
    <t>221.0165</t>
  </si>
  <si>
    <t>Lahat, 16 Juli 1999</t>
  </si>
  <si>
    <t>SLP039</t>
  </si>
  <si>
    <t>RIKHA IKKE NURIANI</t>
  </si>
  <si>
    <t>221.0170</t>
  </si>
  <si>
    <t>Batam, 25 Juli 1998</t>
  </si>
  <si>
    <t>SLP040</t>
  </si>
  <si>
    <t>NUR MEILISA PUTRI</t>
  </si>
  <si>
    <t>221.0173</t>
  </si>
  <si>
    <t>Gebang, 17 Mei 1998</t>
  </si>
  <si>
    <t>SLP041</t>
  </si>
  <si>
    <t>FARHANI AL ZIKRA</t>
  </si>
  <si>
    <t>221.0178</t>
  </si>
  <si>
    <t>Kuantan Pahang, Malaysia, 12 Desember 1997</t>
  </si>
  <si>
    <t>GMP</t>
  </si>
  <si>
    <t>SLP042</t>
  </si>
  <si>
    <t>JAMALIANDA SAPUTRA</t>
  </si>
  <si>
    <t>221.0180</t>
  </si>
  <si>
    <t>Tanah Merah, 25 Januari 2001</t>
  </si>
  <si>
    <t>SLP043</t>
  </si>
  <si>
    <t>DEVI SEPTRIANA</t>
  </si>
  <si>
    <t>221.0181</t>
  </si>
  <si>
    <t>Batam, 1 September 1998</t>
  </si>
  <si>
    <t>SLP044</t>
  </si>
  <si>
    <t>EMILIA</t>
  </si>
  <si>
    <t>222.0182</t>
  </si>
  <si>
    <t>Aceh, 26 Agustus 1973</t>
  </si>
  <si>
    <t>14 Februari 2022</t>
  </si>
  <si>
    <t>1A</t>
  </si>
  <si>
    <t>1A1</t>
  </si>
  <si>
    <t>PDY</t>
  </si>
  <si>
    <t>SLP045</t>
  </si>
  <si>
    <t>SRI ASTUTI</t>
  </si>
  <si>
    <t>222.0183</t>
  </si>
  <si>
    <t>Minta Kasih, 12 Mei 1980</t>
  </si>
  <si>
    <t>SLP046</t>
  </si>
  <si>
    <t>FURQON BANI ADAM</t>
  </si>
  <si>
    <t>222.0184</t>
  </si>
  <si>
    <t>Jember, 02 Februari 2000</t>
  </si>
  <si>
    <t xml:space="preserve">15 Maret 2022 </t>
  </si>
  <si>
    <t>SLP047</t>
  </si>
  <si>
    <t>FAIZAH AZMI</t>
  </si>
  <si>
    <t>222.0185</t>
  </si>
  <si>
    <t>Batam, 03 Agustus 1998</t>
  </si>
  <si>
    <t>28 Maret 2022</t>
  </si>
  <si>
    <t>ADD</t>
  </si>
  <si>
    <t>SLP048</t>
  </si>
  <si>
    <t>ALVINA CLAURIESA NABILA</t>
  </si>
  <si>
    <t>222.0186</t>
  </si>
  <si>
    <t>Muara Sakai, 14 Oktober 1994</t>
  </si>
  <si>
    <t>4 April2022</t>
  </si>
  <si>
    <t>D3</t>
  </si>
  <si>
    <t>SLP049</t>
  </si>
  <si>
    <t>YUSUF ARIFIN</t>
  </si>
  <si>
    <t>222.0187</t>
  </si>
  <si>
    <t>Tanjung Jabung, 24 April 1988</t>
  </si>
  <si>
    <t>26 April 2022</t>
  </si>
  <si>
    <t>SMP</t>
  </si>
  <si>
    <t>SLP050</t>
  </si>
  <si>
    <t>HENDRA</t>
  </si>
  <si>
    <t>222.0188</t>
  </si>
  <si>
    <t>Karawang, 16 September 1997</t>
  </si>
  <si>
    <t>BN</t>
  </si>
  <si>
    <t>SD</t>
  </si>
  <si>
    <t>PKP</t>
  </si>
  <si>
    <t>SLP051</t>
  </si>
  <si>
    <t>AFIFAH USWATUN NISA</t>
  </si>
  <si>
    <t>222.0189</t>
  </si>
  <si>
    <t xml:space="preserve">Kebumen, 12 April 1994 </t>
  </si>
  <si>
    <t>11 Mei 2022</t>
  </si>
  <si>
    <t>1C</t>
  </si>
  <si>
    <t>GKR</t>
  </si>
  <si>
    <t>SLP052</t>
  </si>
  <si>
    <t>AHMAD FAJAR AL FARUQ</t>
  </si>
  <si>
    <t>222.0190</t>
  </si>
  <si>
    <t xml:space="preserve">Batam, 27 Oktober 2002 </t>
  </si>
  <si>
    <t>SLP053</t>
  </si>
  <si>
    <t>JUMANINTANG BT SARAMANG</t>
  </si>
  <si>
    <t>222.0191</t>
  </si>
  <si>
    <t xml:space="preserve">Batu besar, 31 Desember 1979 </t>
  </si>
  <si>
    <t>8 Juni 2022</t>
  </si>
  <si>
    <t>SLP054</t>
  </si>
  <si>
    <t>NOVIA SAPITRI</t>
  </si>
  <si>
    <t>222.0192</t>
  </si>
  <si>
    <t>Batam, 06 Oktober 2003</t>
  </si>
  <si>
    <t>28 Juni 2022</t>
  </si>
  <si>
    <t>SLP055</t>
  </si>
  <si>
    <t>KHOIRUNNISA</t>
  </si>
  <si>
    <t>222.0193</t>
  </si>
  <si>
    <t>Musi Banyuasin, 2 Februari 2000</t>
  </si>
  <si>
    <t>GKD</t>
  </si>
  <si>
    <t>SLP056</t>
  </si>
  <si>
    <t>INDAH SRIAYU</t>
  </si>
  <si>
    <t>222.0194</t>
  </si>
  <si>
    <t xml:space="preserve">Batam, 30 September 2001 </t>
  </si>
  <si>
    <t xml:space="preserve">30 Juni 2022 </t>
  </si>
  <si>
    <t>SLP057</t>
  </si>
  <si>
    <t>JUWARIYAH</t>
  </si>
  <si>
    <t>222.0195</t>
  </si>
  <si>
    <t>Surabaya, 01 Januari 1970</t>
  </si>
  <si>
    <t>1 Juli 2022</t>
  </si>
  <si>
    <t>BM2</t>
  </si>
  <si>
    <t>SLP058</t>
  </si>
  <si>
    <t>NINI PARAMIDA</t>
  </si>
  <si>
    <t>222.0196</t>
  </si>
  <si>
    <t>Lukun, 02 Oktober 1995</t>
  </si>
  <si>
    <t>SLP059</t>
  </si>
  <si>
    <t>SYUKRIA</t>
  </si>
  <si>
    <t>222.0198</t>
  </si>
  <si>
    <t>Malalo, 18 Januari 1988</t>
  </si>
  <si>
    <t>SLP060</t>
  </si>
  <si>
    <t>TIKA MAISYAROH</t>
  </si>
  <si>
    <t>222.0197</t>
  </si>
  <si>
    <t xml:space="preserve">TKIT </t>
  </si>
  <si>
    <t>Jepara, 5 Mei 1999</t>
  </si>
  <si>
    <t>8 Juli 2022</t>
  </si>
  <si>
    <t>SLP061</t>
  </si>
  <si>
    <t>REZKA HAFIZAH</t>
  </si>
  <si>
    <t xml:space="preserve">222.0199 </t>
  </si>
  <si>
    <t>Batam, 14 April 2003</t>
  </si>
  <si>
    <t xml:space="preserve">8 Juli 2022 </t>
  </si>
  <si>
    <t>SLP062</t>
  </si>
  <si>
    <t>NUR RAFISSAH</t>
  </si>
  <si>
    <t>222.0200</t>
  </si>
  <si>
    <t>Batam, 10 Juni 1999</t>
  </si>
  <si>
    <t xml:space="preserve">27 Juli 2022 </t>
  </si>
  <si>
    <t>SLP063</t>
  </si>
  <si>
    <t>SITI NURHAINI MANURUNG</t>
  </si>
  <si>
    <t>222.0201</t>
  </si>
  <si>
    <t>Padang Halaban, 23 Januari 1993</t>
  </si>
  <si>
    <t xml:space="preserve">18 Agustus 2022 </t>
  </si>
  <si>
    <t>SLP064</t>
  </si>
  <si>
    <t>YUQDHA AULIA AL GHAZANI</t>
  </si>
  <si>
    <t>222.0202</t>
  </si>
  <si>
    <t>Seo, 30 Agustus 2001</t>
  </si>
  <si>
    <t xml:space="preserve">22 Agustus 2022 </t>
  </si>
  <si>
    <t>SLP065</t>
  </si>
  <si>
    <t>LEDI ALDE NOPA</t>
  </si>
  <si>
    <t>222.0203</t>
  </si>
  <si>
    <t>Tanah Bekali, 13 September 1996</t>
  </si>
  <si>
    <t>ADP</t>
  </si>
  <si>
    <t>SLP066</t>
  </si>
  <si>
    <t>MUAMMAR NUR ZAID</t>
  </si>
  <si>
    <t>222.0204</t>
  </si>
  <si>
    <t>Sangkunur, 23 Oktober 2003</t>
  </si>
  <si>
    <t xml:space="preserve">23 Agustus 2022  </t>
  </si>
  <si>
    <t xml:space="preserve"> </t>
  </si>
  <si>
    <t>SLP067</t>
  </si>
  <si>
    <t>KONIA APRYA NINGSIH</t>
  </si>
  <si>
    <t>222.0205</t>
  </si>
  <si>
    <t>Selat panjang, 13 April 2001</t>
  </si>
  <si>
    <t>5 September 2022</t>
  </si>
  <si>
    <t>SLP068</t>
  </si>
  <si>
    <t xml:space="preserve">Andy Rezky Wahyuni </t>
  </si>
  <si>
    <t>222.0206</t>
  </si>
  <si>
    <t>RA</t>
  </si>
  <si>
    <t>Bulukumba, 15 September 2000</t>
  </si>
  <si>
    <t xml:space="preserve">22 September 2022 </t>
  </si>
  <si>
    <t>Guru Kelas RA</t>
  </si>
  <si>
    <t>SLP069</t>
  </si>
  <si>
    <t>Miko Ardiansyah</t>
  </si>
  <si>
    <t>222.0207</t>
  </si>
  <si>
    <t>Batam, 12 September 2002</t>
  </si>
  <si>
    <t xml:space="preserve">24 September 2022 </t>
  </si>
  <si>
    <t>Guru Quran SMP</t>
  </si>
  <si>
    <t>SLP070</t>
  </si>
  <si>
    <t>Herlinayati, S.Pd.I</t>
  </si>
  <si>
    <t>222.0208</t>
  </si>
  <si>
    <t>Plaju, 20 Agustus 1972</t>
  </si>
  <si>
    <t xml:space="preserve">26 September 2022 </t>
  </si>
  <si>
    <t>Guru Kelas SD</t>
  </si>
  <si>
    <t>SLP071</t>
  </si>
  <si>
    <t>Muhammad Adib Alhan</t>
  </si>
  <si>
    <t>222.0209</t>
  </si>
  <si>
    <t>Tanjung balai karimun, 30 Maret 2001</t>
  </si>
  <si>
    <t xml:space="preserve">22 Oktober 2022 </t>
  </si>
  <si>
    <t>Guru Quran SD</t>
  </si>
  <si>
    <t>SLP072</t>
  </si>
  <si>
    <t>Zafiruddin</t>
  </si>
  <si>
    <t>222.0210</t>
  </si>
  <si>
    <t>Semedang, 14 April 1990</t>
  </si>
  <si>
    <t>14 November 2022</t>
  </si>
  <si>
    <t>Satpam</t>
  </si>
  <si>
    <t>SLP073</t>
  </si>
  <si>
    <t>Ayyash</t>
  </si>
  <si>
    <t>222.0211</t>
  </si>
  <si>
    <t>Batam</t>
  </si>
  <si>
    <t>SLP074</t>
  </si>
  <si>
    <t>Sulastri</t>
  </si>
  <si>
    <t>222.0212</t>
  </si>
  <si>
    <t xml:space="preserve">SDIT </t>
  </si>
  <si>
    <t>Tanjung Sari, 06 Juli 2000</t>
  </si>
  <si>
    <t>24 Desember 2022</t>
  </si>
  <si>
    <t>SLP075</t>
  </si>
  <si>
    <t>Aprilia Budi Safitri</t>
  </si>
  <si>
    <t>223.0213</t>
  </si>
  <si>
    <t>Kendal,  10 April 1993</t>
  </si>
  <si>
    <t>4 Januari 2023</t>
  </si>
  <si>
    <t>1C1</t>
  </si>
  <si>
    <t>Guru Kelas SMP</t>
  </si>
  <si>
    <t>SLP076</t>
  </si>
  <si>
    <t>Pikriadi</t>
  </si>
  <si>
    <t>223.0214</t>
  </si>
  <si>
    <t>Muara Timbuk, 28 Agustus 1974</t>
  </si>
  <si>
    <t>11 Januari 2023</t>
  </si>
  <si>
    <t>Satpam SMP</t>
  </si>
  <si>
    <t>SLP077</t>
  </si>
  <si>
    <t>Sandi Sahrani</t>
  </si>
  <si>
    <t>223.0215</t>
  </si>
  <si>
    <t>Sungai Upih, 14 Oktober 2002</t>
  </si>
  <si>
    <t>12 Januari 2023</t>
  </si>
  <si>
    <t>SLP078</t>
  </si>
  <si>
    <t>Imel Lestari</t>
  </si>
  <si>
    <t>223.0216</t>
  </si>
  <si>
    <t>Selat Baru, 30 November 2004</t>
  </si>
  <si>
    <t>17 Januari 2023</t>
  </si>
  <si>
    <t>SLP079</t>
  </si>
  <si>
    <t>M. Miftachun Nahda Salam</t>
  </si>
  <si>
    <t>223.0217</t>
  </si>
  <si>
    <t>Pasuruan, 25 Mei 2002</t>
  </si>
  <si>
    <t>18 Januari 2023</t>
  </si>
  <si>
    <t>SLP080</t>
  </si>
  <si>
    <t>Gandi Saputra</t>
  </si>
  <si>
    <t>223. 0218</t>
  </si>
  <si>
    <t xml:space="preserve">Karawang, 19 Agustus 1979 </t>
  </si>
  <si>
    <t>1 Februari 2023</t>
  </si>
  <si>
    <t>SATPAM</t>
  </si>
  <si>
    <t>SLP081</t>
  </si>
  <si>
    <t>Annisa Muna Syahidah</t>
  </si>
  <si>
    <t>223. 0219</t>
  </si>
  <si>
    <t>Tanjung Uban, 31 Juli 2002</t>
  </si>
  <si>
    <t xml:space="preserve">26 Juni 2023 </t>
  </si>
  <si>
    <t>Guru Quran</t>
  </si>
  <si>
    <t>SLP082</t>
  </si>
  <si>
    <t>Andi Saputra</t>
  </si>
  <si>
    <t>223. 0220</t>
  </si>
  <si>
    <t xml:space="preserve">Parit Berut, 14 Maret 1988 </t>
  </si>
  <si>
    <t xml:space="preserve">1 Juli 2023 </t>
  </si>
  <si>
    <t>SLP083</t>
  </si>
  <si>
    <t>Ririn Anggrainy</t>
  </si>
  <si>
    <t>223. 0221</t>
  </si>
  <si>
    <t>Tanjung Kedabu, 29 Januari 1999</t>
  </si>
  <si>
    <t xml:space="preserve">3 Juli 2023 </t>
  </si>
  <si>
    <t>SLP084</t>
  </si>
  <si>
    <t xml:space="preserve">Nurul Izzatul Islam </t>
  </si>
  <si>
    <t>223. 0222</t>
  </si>
  <si>
    <t>Batam, 04 Februari 2001</t>
  </si>
  <si>
    <t xml:space="preserve">12 Juli 2023 </t>
  </si>
  <si>
    <t>DII</t>
  </si>
  <si>
    <t>1B</t>
  </si>
  <si>
    <t>1B1</t>
  </si>
  <si>
    <t>SLP085</t>
  </si>
  <si>
    <t>Sodikin</t>
  </si>
  <si>
    <t>223. 0223</t>
  </si>
  <si>
    <t>Surabaya, 14 September 1972</t>
  </si>
  <si>
    <t>17 Juli 2023</t>
  </si>
  <si>
    <t>M</t>
  </si>
  <si>
    <t>SLP086</t>
  </si>
  <si>
    <t>Wardiani</t>
  </si>
  <si>
    <t>223.0224</t>
  </si>
  <si>
    <t>Paloh Lada, 1 Juli 1978</t>
  </si>
  <si>
    <t>Juru masak</t>
  </si>
  <si>
    <t>SLP087</t>
  </si>
  <si>
    <t>Suhada Ihsan</t>
  </si>
  <si>
    <t>223.0225</t>
  </si>
  <si>
    <t>Pilar, 14 Maret 1999</t>
  </si>
  <si>
    <t>24 Juli 2023</t>
  </si>
  <si>
    <t>1C10</t>
  </si>
  <si>
    <t>SLP088</t>
  </si>
  <si>
    <t>Lulus</t>
  </si>
  <si>
    <t>Grade</t>
  </si>
  <si>
    <t>Gapok</t>
  </si>
  <si>
    <t>selisih</t>
  </si>
  <si>
    <t>Tj Hadir</t>
  </si>
  <si>
    <t>Tj Hdr 1bulan</t>
  </si>
  <si>
    <t>Gapok 2</t>
  </si>
  <si>
    <t>IA2</t>
  </si>
  <si>
    <t>IA4</t>
  </si>
  <si>
    <t>IA6</t>
  </si>
  <si>
    <t>IA8</t>
  </si>
  <si>
    <t>IA9</t>
  </si>
  <si>
    <t>IA10</t>
  </si>
  <si>
    <t>IB2</t>
  </si>
  <si>
    <t>IB4</t>
  </si>
  <si>
    <t>IB6</t>
  </si>
  <si>
    <t>IB8</t>
  </si>
  <si>
    <t>IB10</t>
  </si>
  <si>
    <t>SMA+S1</t>
  </si>
  <si>
    <t>IC2</t>
  </si>
  <si>
    <t>IC3</t>
  </si>
  <si>
    <t>IC4</t>
  </si>
  <si>
    <t>IC6</t>
  </si>
  <si>
    <t>IC8</t>
  </si>
  <si>
    <t>IC9</t>
  </si>
  <si>
    <t>IC10</t>
  </si>
  <si>
    <t>S1 + S2</t>
  </si>
  <si>
    <t>IIA2</t>
  </si>
  <si>
    <t>IIA3</t>
  </si>
  <si>
    <t>IIA4</t>
  </si>
  <si>
    <t>IIA5</t>
  </si>
  <si>
    <t>IIA6</t>
  </si>
  <si>
    <t>IIA7</t>
  </si>
  <si>
    <t>IIA8</t>
  </si>
  <si>
    <t>IIA9</t>
  </si>
  <si>
    <t>IIA10</t>
  </si>
  <si>
    <t>IIB2</t>
  </si>
  <si>
    <t>IIB3</t>
  </si>
  <si>
    <t>IIB4</t>
  </si>
  <si>
    <t>IIB5</t>
  </si>
  <si>
    <t>IIB6</t>
  </si>
  <si>
    <t>IIB8</t>
  </si>
  <si>
    <t>IIB9</t>
  </si>
  <si>
    <t>IIC2</t>
  </si>
  <si>
    <t>IIC3</t>
  </si>
  <si>
    <t>IIC4</t>
  </si>
  <si>
    <t>IIC5</t>
  </si>
  <si>
    <t>IIC6</t>
  </si>
  <si>
    <t>IIC7</t>
  </si>
  <si>
    <t>IIC8</t>
  </si>
  <si>
    <t>IIC9</t>
  </si>
  <si>
    <t>IIC10</t>
  </si>
  <si>
    <t>IIIA2</t>
  </si>
  <si>
    <t>IIIA3</t>
  </si>
  <si>
    <t>IIIA4</t>
  </si>
  <si>
    <t>IIIA5</t>
  </si>
  <si>
    <t>IIIA6</t>
  </si>
  <si>
    <t>IIIA7</t>
  </si>
  <si>
    <t>IIIA8</t>
  </si>
  <si>
    <t>IIIA9</t>
  </si>
  <si>
    <t>IIIA10</t>
  </si>
  <si>
    <t>IIIB1</t>
  </si>
  <si>
    <t>IIIB2</t>
  </si>
  <si>
    <t>IIIB3</t>
  </si>
  <si>
    <t>IIIB4</t>
  </si>
  <si>
    <t>IIIB5</t>
  </si>
  <si>
    <t>IIIB6</t>
  </si>
  <si>
    <t>IIIB7</t>
  </si>
  <si>
    <t>IIIB8</t>
  </si>
  <si>
    <t>IIIB9</t>
  </si>
  <si>
    <t>IIIB10</t>
  </si>
  <si>
    <t>IIIC1</t>
  </si>
  <si>
    <t>IIIC2</t>
  </si>
  <si>
    <t>IIIC3</t>
  </si>
  <si>
    <t>IIIC4</t>
  </si>
  <si>
    <t>IIIC5</t>
  </si>
  <si>
    <t>IIIC6</t>
  </si>
  <si>
    <t>IIIC7</t>
  </si>
  <si>
    <t>IIIC8</t>
  </si>
  <si>
    <t>IIIC9</t>
  </si>
  <si>
    <t>IIIC10</t>
  </si>
  <si>
    <t>YAYASAN BINA INSAN MULIA BATAM - SLIP GAJI KARYAWAN</t>
  </si>
  <si>
    <t>SLIP</t>
  </si>
  <si>
    <t>SEKOLAH ISLAM TERPADU MUTIARA INSANI BATAM</t>
  </si>
  <si>
    <t>:</t>
  </si>
  <si>
    <t xml:space="preserve">BULAN </t>
  </si>
  <si>
    <t>hari</t>
  </si>
  <si>
    <t xml:space="preserve">UNIT </t>
  </si>
  <si>
    <t>TEPAT WAKTU</t>
  </si>
  <si>
    <t>TERLAMBAT</t>
  </si>
  <si>
    <t xml:space="preserve">TMT </t>
  </si>
  <si>
    <t>DCR RA</t>
  </si>
  <si>
    <t xml:space="preserve">IZIN </t>
  </si>
  <si>
    <t>DCR SD</t>
  </si>
  <si>
    <t>POTONGAN-POTONGAN</t>
  </si>
  <si>
    <t>GJ. POKOK</t>
  </si>
  <si>
    <t>POT. ABSEN</t>
  </si>
  <si>
    <t>TJ. FUNGSIONAL</t>
  </si>
  <si>
    <t>POT. TELAT</t>
  </si>
  <si>
    <t>TJ. KEHADIRAN</t>
  </si>
  <si>
    <t>POT. DAYCARE</t>
  </si>
  <si>
    <t>TJ. RUMAH</t>
  </si>
  <si>
    <t>POT. BPJS</t>
  </si>
  <si>
    <t>TJ. MASA KERJA</t>
  </si>
  <si>
    <t>POT. PINJAMAN</t>
  </si>
  <si>
    <t>TJ . BPJS KESEHATAN</t>
  </si>
  <si>
    <t>POT. KADO</t>
  </si>
  <si>
    <t>SUBSIDI DAYCARE</t>
  </si>
  <si>
    <t>TJ. TAMBAHAN</t>
  </si>
  <si>
    <t>TTL. POTONGAN</t>
  </si>
  <si>
    <t>KET TJ TAMBAHAN</t>
  </si>
  <si>
    <t>KOREKSI</t>
  </si>
  <si>
    <t>GAJI UTAMA</t>
  </si>
  <si>
    <t>GAJI BERSIH</t>
  </si>
  <si>
    <t>RIWAYAT PINJAMAN</t>
  </si>
  <si>
    <t>TANGGAL</t>
  </si>
  <si>
    <t>BESAR PINJAMAN</t>
  </si>
  <si>
    <t>LAMA ANGSURAN</t>
  </si>
  <si>
    <t>BESAR ANGSURAN</t>
  </si>
  <si>
    <t>BLN TRAKHIR ANGSURAN</t>
  </si>
  <si>
    <t>SISA PINJAMAN</t>
  </si>
  <si>
    <t>Keterangan Pot Kado</t>
  </si>
  <si>
    <t>Keterangan Koreksi</t>
  </si>
  <si>
    <t>JUMLAH HARI</t>
  </si>
  <si>
    <t>MASUK</t>
  </si>
  <si>
    <t>ABSEN</t>
  </si>
  <si>
    <t>TGS. HR. KERJA</t>
  </si>
  <si>
    <t>TGS. HR. LIBUR</t>
  </si>
  <si>
    <t>DAYCARE PAUD</t>
  </si>
  <si>
    <t>Besar Tunjangan Fungsional</t>
  </si>
  <si>
    <t>GURU BARU</t>
  </si>
  <si>
    <t>GURU LAMA</t>
  </si>
  <si>
    <t>Unit</t>
  </si>
  <si>
    <t>Kode</t>
  </si>
  <si>
    <t>Jb. Fungsional</t>
  </si>
  <si>
    <t>Tj. Fungsional</t>
  </si>
  <si>
    <t>TJ.R</t>
  </si>
  <si>
    <t>Tj Fungsional 2</t>
  </si>
  <si>
    <t>Karywn Penitipan</t>
  </si>
  <si>
    <t>Petugas Kebersihan</t>
  </si>
  <si>
    <t>Staf Admin RA</t>
  </si>
  <si>
    <t>Wali Kelas RA</t>
  </si>
  <si>
    <t>Wakil Kepala RA</t>
  </si>
  <si>
    <t>Kepala RA</t>
  </si>
  <si>
    <t>Wali Kelas SD</t>
  </si>
  <si>
    <t>Guru Mapel SD</t>
  </si>
  <si>
    <t>Staf Admin SD</t>
  </si>
  <si>
    <t>Wakil Kepala SD</t>
  </si>
  <si>
    <t>Kepala SD</t>
  </si>
  <si>
    <t>GQM</t>
  </si>
  <si>
    <t>Guru Quran SMP dan Musyrif</t>
  </si>
  <si>
    <t>WKP</t>
  </si>
  <si>
    <t>Wali Kelas SMP</t>
  </si>
  <si>
    <t>Guru Mapel SMP</t>
  </si>
  <si>
    <t>GMM</t>
  </si>
  <si>
    <t>GuruMapel SMP dan Musyrif</t>
  </si>
  <si>
    <t>Staf Admin SMP</t>
  </si>
  <si>
    <t>Wakil Kepala SMP</t>
  </si>
  <si>
    <t>Kepala SMP</t>
  </si>
  <si>
    <t>Petugas Keamanan</t>
  </si>
  <si>
    <t>Staf Yayasan</t>
  </si>
  <si>
    <t>ADY</t>
  </si>
  <si>
    <t>Staf Admin Yayasan</t>
  </si>
  <si>
    <t>Petugas Dapur</t>
  </si>
  <si>
    <t>KDP</t>
  </si>
  <si>
    <t>Kepala Deputi</t>
  </si>
  <si>
    <t>Kepala Divisi</t>
  </si>
  <si>
    <t>Nama</t>
  </si>
  <si>
    <t>Besar angsuran BPJS Ketenagakerjaan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</si>
  <si>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</si>
  <si>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</si>
  <si>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</si>
  <si>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</si>
  <si>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</si>
  <si>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</si>
  <si>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</si>
  <si>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</si>
  <si>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</si>
  <si>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</si>
  <si>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</si>
  <si>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Rika</t>
  </si>
  <si>
    <t>Cici</t>
  </si>
  <si>
    <t>Ade</t>
  </si>
  <si>
    <t>Atikah</t>
  </si>
  <si>
    <t>Nanik</t>
  </si>
  <si>
    <t>Ayep</t>
  </si>
  <si>
    <t>Tri</t>
  </si>
  <si>
    <t>Aris</t>
  </si>
  <si>
    <t>iuran rutin</t>
  </si>
  <si>
    <t>Shinta</t>
  </si>
  <si>
    <t>Widi</t>
  </si>
  <si>
    <t>Tiwi</t>
  </si>
  <si>
    <t>Yuni</t>
  </si>
  <si>
    <t>Muna</t>
  </si>
  <si>
    <t>Siti</t>
  </si>
  <si>
    <t>Lis</t>
  </si>
  <si>
    <t>Esti</t>
  </si>
  <si>
    <t xml:space="preserve">Karlina </t>
  </si>
  <si>
    <t>Suryana</t>
  </si>
  <si>
    <t>Erlina</t>
  </si>
  <si>
    <t>Taufik</t>
  </si>
  <si>
    <t>Siti Mutofiah</t>
  </si>
  <si>
    <t>Iza</t>
  </si>
  <si>
    <t>Novi</t>
  </si>
  <si>
    <t>Besar pinjaman</t>
  </si>
  <si>
    <t>Sisa</t>
  </si>
  <si>
    <t>Ket</t>
  </si>
  <si>
    <t>Okt</t>
  </si>
  <si>
    <t xml:space="preserve">Mei </t>
  </si>
  <si>
    <t>Januari 2025</t>
  </si>
  <si>
    <t>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</si>
  <si>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</si>
  <si>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</si>
  <si>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</si>
  <si>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</si>
  <si>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</si>
  <si>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</si>
  <si>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</si>
  <si>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</si>
  <si>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</si>
  <si>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</si>
  <si>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</si>
  <si>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</si>
  <si>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</si>
  <si>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</si>
  <si>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</si>
  <si>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</si>
  <si>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</si>
  <si>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</si>
  <si>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</si>
  <si>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</si>
  <si>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</si>
  <si>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</si>
  <si>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</si>
  <si>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</si>
  <si>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</si>
  <si>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</si>
  <si>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</si>
  <si>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</si>
  <si>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</si>
  <si>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</si>
  <si>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</si>
  <si>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</si>
  <si>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</si>
  <si>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</si>
  <si>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N0</t>
  </si>
  <si>
    <t>BULAN</t>
  </si>
  <si>
    <t>TAMBAH JAM</t>
  </si>
  <si>
    <t>MASUK MALAM/MAKAN</t>
  </si>
  <si>
    <t>FUTSAL</t>
  </si>
  <si>
    <t>EKSKUL WAJIB</t>
  </si>
  <si>
    <t>EKSKUL PILIHAN</t>
  </si>
  <si>
    <t>GAJI POKOK</t>
  </si>
  <si>
    <t>TUNJ. FUNGSIONAL</t>
  </si>
  <si>
    <t>TUNJ. KEHADIRAN</t>
  </si>
  <si>
    <t>TUNJ. RUMAH</t>
  </si>
  <si>
    <t>TUNJ. MASA KERJA</t>
  </si>
  <si>
    <t>TUNJ. BPJS KESEHATAN</t>
  </si>
  <si>
    <t>TUNJ. ESKUL</t>
  </si>
  <si>
    <t>TUNJ. LEMBUR</t>
  </si>
  <si>
    <t>TUNJ. MAKAN</t>
  </si>
  <si>
    <t>TUNJ. SUKA/DUKA</t>
  </si>
  <si>
    <t>TUNJ. Khusus</t>
  </si>
  <si>
    <t>Ket Tj Khusus</t>
  </si>
  <si>
    <t>SUBSIDI PENITIPAN</t>
  </si>
  <si>
    <t>SUBSIDI TPQ</t>
  </si>
  <si>
    <t>GAJI SBLM POTONGAN</t>
  </si>
  <si>
    <t>POTONGAN ABSEN</t>
  </si>
  <si>
    <t>POTONGAN TELAT</t>
  </si>
  <si>
    <t>POTONGAN DAY CARE</t>
  </si>
  <si>
    <t>POTONGAN BPJS KESEHATAN</t>
  </si>
  <si>
    <t>POTONGAN PINJAMAN</t>
  </si>
  <si>
    <t>POT BPJS TENAGA KERJA</t>
  </si>
  <si>
    <t>TOTAL POTONGAN</t>
  </si>
  <si>
    <t>KOREKSI GAJI</t>
  </si>
  <si>
    <t>KETERANGAN KOREKSI</t>
  </si>
  <si>
    <t>No.Rek Bank</t>
  </si>
  <si>
    <t>15 Mei 2019</t>
  </si>
  <si>
    <t>7 Juli 2010</t>
  </si>
  <si>
    <t>Lamongan, 06 Juni 1980</t>
  </si>
  <si>
    <t>22 Juni 2011</t>
  </si>
  <si>
    <t>Karanganyar, 06 Februari 1983</t>
  </si>
  <si>
    <t>4 Juli 2012</t>
  </si>
  <si>
    <t>Bandung, 10 April 1992</t>
  </si>
  <si>
    <t>9 Agustus 2016</t>
  </si>
  <si>
    <t>Gumaranga, 09 Maret 1992</t>
  </si>
  <si>
    <t>10 Agustus 2016</t>
  </si>
  <si>
    <t>Bengkulu, 29 September 1990</t>
  </si>
  <si>
    <t>13 Juni 2017</t>
  </si>
  <si>
    <t>Sleman, 17 April 1971</t>
  </si>
  <si>
    <t>24 Juli 2017</t>
  </si>
  <si>
    <t>Magetan, 05 Mei 1974</t>
  </si>
  <si>
    <t>16 Juli 2018</t>
  </si>
  <si>
    <t>8 November 2021</t>
  </si>
  <si>
    <t>18 September 2023</t>
  </si>
  <si>
    <t xml:space="preserve">Batam, 15 April 2004 </t>
  </si>
  <si>
    <t>224.239</t>
  </si>
  <si>
    <t>Selat Panjang, 2 Juli 1997</t>
  </si>
  <si>
    <t xml:space="preserve">13 Juli 2024   </t>
  </si>
  <si>
    <t>Tembilahan, 12 September 1989</t>
  </si>
  <si>
    <t>14 Juli 2014</t>
  </si>
  <si>
    <t>Jumah, 16 Juni 1984</t>
  </si>
  <si>
    <t>28 April 2015</t>
  </si>
  <si>
    <t>Musrif/ah</t>
  </si>
  <si>
    <t>9 Mei 2018</t>
  </si>
  <si>
    <t>-</t>
  </si>
  <si>
    <t>Purworejo, 1 Juli 1972</t>
  </si>
  <si>
    <t>4 November 2023</t>
  </si>
  <si>
    <t>224.234</t>
  </si>
  <si>
    <t>Batam, 05 Mei 2001</t>
  </si>
  <si>
    <t xml:space="preserve">1 Juli 2024   </t>
  </si>
  <si>
    <t xml:space="preserve">Madiun, 21 April </t>
  </si>
  <si>
    <t>20 Juli 2010</t>
  </si>
  <si>
    <t>Admin RA</t>
  </si>
  <si>
    <t>1 Desember 2010</t>
  </si>
  <si>
    <t>1 Desember 2014</t>
  </si>
  <si>
    <t>20 Agustus 2018</t>
  </si>
  <si>
    <t>Parit Arman, 13 Februari 1986</t>
  </si>
  <si>
    <t>15 Agustus 2024</t>
  </si>
  <si>
    <t>Syukria</t>
  </si>
  <si>
    <t>BEASISWA TK</t>
  </si>
  <si>
    <t>BEASISWA SD</t>
  </si>
  <si>
    <t>BEASISWA SMP</t>
  </si>
  <si>
    <t>BPJS KETENA KERJAAN</t>
  </si>
  <si>
    <t>POT. BIAYA PENDIDIKAN</t>
  </si>
  <si>
    <t>12 Oktober 2024</t>
  </si>
  <si>
    <t>224.244</t>
  </si>
  <si>
    <t>RA IT</t>
  </si>
  <si>
    <t>Karyawan Penitipan</t>
  </si>
  <si>
    <t>POT. PEMKO</t>
  </si>
  <si>
    <t>IURAN BPJS YYS</t>
  </si>
  <si>
    <t>224.246</t>
  </si>
  <si>
    <t>224.247</t>
  </si>
  <si>
    <t>224.248</t>
  </si>
  <si>
    <t>Jakarta,  14 Agustus 1995</t>
  </si>
  <si>
    <t>6 November 2024</t>
  </si>
  <si>
    <t>Pekan Baru, 26 Oktober 1987</t>
  </si>
  <si>
    <t>Blitar. 19 Mei 1999</t>
  </si>
  <si>
    <t>2. Biaya Masuk TK</t>
  </si>
  <si>
    <t xml:space="preserve">Rincian Pembiayaan Neisha </t>
  </si>
  <si>
    <t xml:space="preserve">Note </t>
  </si>
  <si>
    <t>Agst</t>
  </si>
  <si>
    <t>Sept</t>
  </si>
  <si>
    <t>Jan</t>
  </si>
  <si>
    <t>210.005</t>
  </si>
  <si>
    <t>210.010</t>
  </si>
  <si>
    <t>210.013</t>
  </si>
  <si>
    <t>210.017</t>
  </si>
  <si>
    <t>214.064</t>
  </si>
  <si>
    <t>218.119</t>
  </si>
  <si>
    <t>214.054</t>
  </si>
  <si>
    <t>215.065</t>
  </si>
  <si>
    <t>218.109</t>
  </si>
  <si>
    <t>222.187</t>
  </si>
  <si>
    <t>222.203</t>
  </si>
  <si>
    <t>223.215</t>
  </si>
  <si>
    <t>223.220</t>
  </si>
  <si>
    <t>223.230</t>
  </si>
  <si>
    <t>219.126</t>
  </si>
  <si>
    <t>210.008</t>
  </si>
  <si>
    <t>211.020</t>
  </si>
  <si>
    <t>212.030</t>
  </si>
  <si>
    <t>216.084</t>
  </si>
  <si>
    <t>216.083</t>
  </si>
  <si>
    <t>217.097</t>
  </si>
  <si>
    <t>217.100</t>
  </si>
  <si>
    <t>217.102</t>
  </si>
  <si>
    <t>218.116</t>
  </si>
  <si>
    <t>219.136</t>
  </si>
  <si>
    <t>219.140</t>
  </si>
  <si>
    <t>219.137</t>
  </si>
  <si>
    <t>220.149</t>
  </si>
  <si>
    <t>220.151</t>
  </si>
  <si>
    <t>220.152</t>
  </si>
  <si>
    <t>220.157</t>
  </si>
  <si>
    <t>221.170</t>
  </si>
  <si>
    <t>221.173</t>
  </si>
  <si>
    <t>221.180</t>
  </si>
  <si>
    <t>222.196</t>
  </si>
  <si>
    <t>222.198</t>
  </si>
  <si>
    <t>222.200</t>
  </si>
  <si>
    <t>223.229</t>
  </si>
  <si>
    <t>223.222</t>
  </si>
  <si>
    <t>224.240</t>
  </si>
  <si>
    <t>23 November 2024</t>
  </si>
  <si>
    <t>total Pinj</t>
  </si>
  <si>
    <t>Total</t>
  </si>
  <si>
    <t>Angsuran</t>
  </si>
  <si>
    <t>IIA</t>
  </si>
  <si>
    <t>Tim Media</t>
  </si>
  <si>
    <t xml:space="preserve">Tunj Insentif PEMKO </t>
  </si>
  <si>
    <t xml:space="preserve">20 Februari 2025 </t>
  </si>
  <si>
    <t xml:space="preserve">      </t>
  </si>
  <si>
    <t>Selatpanjang, 7 Mei 1996</t>
  </si>
  <si>
    <t>Mattoanging, 20 juni 2001</t>
  </si>
  <si>
    <t>17 Mei 2025</t>
  </si>
  <si>
    <t>Feb</t>
  </si>
  <si>
    <t>Parit Satam, 15 April 1974</t>
  </si>
  <si>
    <t>4 Juni 2025</t>
  </si>
  <si>
    <t>Petugas Dapur SD</t>
  </si>
  <si>
    <t>225.254</t>
  </si>
  <si>
    <t>225.255</t>
  </si>
  <si>
    <t>Purwakarta, 29 Mei 2001</t>
  </si>
  <si>
    <t>Tegal 27 Februari 2005</t>
  </si>
  <si>
    <t xml:space="preserve">10 Juli 2025   </t>
  </si>
  <si>
    <t>1. SPP : 12 x 300.000</t>
  </si>
  <si>
    <t>Tambahan 12 jam kerja</t>
  </si>
  <si>
    <t>Bandung, 27 Juli 1974</t>
  </si>
  <si>
    <t>Benteng, 28 Februari 1995</t>
  </si>
  <si>
    <t>225.258</t>
  </si>
  <si>
    <t>31 Juli 2025</t>
  </si>
  <si>
    <t>Masjid Lama, 09 Agustus 1998</t>
  </si>
  <si>
    <t>225.259</t>
  </si>
  <si>
    <t>Tanjung Balai, 21 Maret 2004</t>
  </si>
  <si>
    <t>225.260</t>
  </si>
  <si>
    <t>Batam, 25 Maret 2001</t>
  </si>
  <si>
    <t>Pajar Bulan, 10 Agustus 1994</t>
  </si>
  <si>
    <t>15 September 2025</t>
  </si>
  <si>
    <t>Batam, 27 Juli 2001</t>
  </si>
  <si>
    <t>Batam, 11 November 2002</t>
  </si>
  <si>
    <t>7 November 2025</t>
  </si>
  <si>
    <t>Nov</t>
  </si>
  <si>
    <t>tambahan masak smp</t>
  </si>
  <si>
    <t>Sandi</t>
  </si>
  <si>
    <t xml:space="preserve">April </t>
  </si>
  <si>
    <t>TK</t>
  </si>
  <si>
    <t xml:space="preserve">1. Spp </t>
  </si>
  <si>
    <t>2. Biaya masuk</t>
  </si>
  <si>
    <t>Des</t>
  </si>
  <si>
    <t>Yusuf</t>
  </si>
  <si>
    <t xml:space="preserve">sisa hutang per januari </t>
  </si>
  <si>
    <t>Fia</t>
  </si>
  <si>
    <t xml:space="preserve">Andi </t>
  </si>
  <si>
    <t>CUTI MELAHIRKAN</t>
  </si>
  <si>
    <t>Batam, 23 Maret 1998</t>
  </si>
  <si>
    <t>5 Januari 2026</t>
  </si>
  <si>
    <t>Admin SD</t>
  </si>
  <si>
    <t>Ujungpandang, 23 Desember 1998</t>
  </si>
  <si>
    <t>28 Januari 2026</t>
  </si>
  <si>
    <t>POTONGAN ZISWAF</t>
  </si>
  <si>
    <t>Listia</t>
  </si>
  <si>
    <t>TK LUNAS</t>
  </si>
  <si>
    <t>Novita P.F.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</si>
  <si>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</si>
  <si>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</si>
  <si>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</si>
  <si>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</si>
  <si>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</si>
  <si>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</si>
  <si>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</si>
  <si>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</si>
  <si>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</si>
  <si>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</si>
  <si>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</si>
  <si>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</si>
  <si>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</si>
  <si>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</si>
  <si>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</si>
  <si>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</si>
  <si>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</si>
  <si>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</si>
  <si>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</si>
  <si>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</si>
  <si>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</si>
  <si>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</si>
  <si>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</si>
  <si>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</si>
  <si>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</si>
  <si>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</si>
  <si>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</si>
  <si>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</si>
  <si>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AA29</t>
  </si>
  <si>
    <t>AA30</t>
  </si>
  <si>
    <t>AA31</t>
  </si>
  <si>
    <t>AA32</t>
  </si>
  <si>
    <t>AA33</t>
  </si>
  <si>
    <t>AA34</t>
  </si>
  <si>
    <t>AA35</t>
  </si>
  <si>
    <t>AA36</t>
  </si>
  <si>
    <t>AA37</t>
  </si>
  <si>
    <t>AA38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</si>
  <si>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</si>
  <si>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</si>
  <si>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</si>
  <si>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</si>
  <si>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</si>
  <si>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</si>
  <si>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</si>
  <si>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</si>
  <si>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</si>
  <si>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</si>
  <si>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</si>
  <si>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</si>
  <si>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</si>
  <si>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</si>
  <si>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</si>
  <si>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</si>
  <si>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AA55</t>
  </si>
  <si>
    <t>AA56</t>
  </si>
  <si>
    <t>AA57</t>
  </si>
  <si>
    <t>AA58</t>
  </si>
  <si>
    <t>AA59</t>
  </si>
  <si>
    <t>AA60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</si>
</sst>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[$-409]d\-mmm\-yy;@"/>
    <numFmt numFmtId="165" formatCode="_(* #,##0_);_(* \(#,##0\);_(* \-??_);_(@_)"/>
    <numFmt numFmtId="166" formatCode="[$-409]d\-mmm\-yyyy;@"/>
    <numFmt numFmtId="167" formatCode="_(* #,##0.00_);_(* \(#,##0.00\);_(* \-??_);_(@_)"/>
    <numFmt numFmtId="168" formatCode="[$-409]dd\-mmm\-yy;@"/>
    <numFmt numFmtId="169" formatCode="_-* #,##0_-;\-* #,##0_-;_-* \-_-;_-@_-"/>
    <numFmt numFmtId="170" formatCode="[$-409]mmm\-yy"/>
    <numFmt numFmtId="171" formatCode="_(* #,##0_);_(* \(#,##0\);_(* &quot;-&quot;??_);_(@_)"/>
  </numFmts>
  <fonts count="63" x14ac:knownFonts="1">
    <font>
      <sz val="11"/>
      <name val="Calibri"/>
    </font>
    <font>
      <sz val="14"/>
      <color rgb="FF000000"/>
      <name val="Calibri"/>
      <family val="2"/>
    </font>
    <font>
      <sz val="14"/>
      <color rgb="FF000000"/>
      <name val="Cambria"/>
      <family val="1"/>
    </font>
    <font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mbria"/>
      <family val="1"/>
    </font>
    <font>
      <sz val="12"/>
      <color rgb="FFFF0000"/>
      <name val="Cambria"/>
      <family val="1"/>
    </font>
    <font>
      <b/>
      <sz val="14"/>
      <color rgb="FF000000"/>
      <name val="Cambria"/>
      <family val="1"/>
    </font>
    <font>
      <b/>
      <sz val="14"/>
      <color rgb="FFFF0000"/>
      <name val="Cambria"/>
      <family val="1"/>
    </font>
    <font>
      <sz val="14"/>
      <name val="Cambria"/>
      <family val="1"/>
    </font>
    <font>
      <b/>
      <sz val="14"/>
      <name val="Cambria"/>
      <family val="1"/>
    </font>
    <font>
      <sz val="14"/>
      <name val="Calibri"/>
      <family val="2"/>
    </font>
    <font>
      <sz val="14"/>
      <color rgb="FFFF0000"/>
      <name val="Cambria"/>
      <family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mbria"/>
      <family val="1"/>
    </font>
    <font>
      <b/>
      <sz val="14"/>
      <name val="Calibri"/>
      <family val="2"/>
    </font>
    <font>
      <b/>
      <sz val="12"/>
      <color rgb="FF000000"/>
      <name val="Cambria"/>
      <family val="1"/>
    </font>
    <font>
      <b/>
      <sz val="12"/>
      <color rgb="FFFF0000"/>
      <name val="Cambria"/>
      <family val="1"/>
    </font>
    <font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Cambria"/>
      <family val="1"/>
    </font>
    <font>
      <sz val="12"/>
      <name val="Cambria"/>
      <family val="1"/>
    </font>
    <font>
      <b/>
      <sz val="12"/>
      <name val="Cambria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FF0000"/>
      <name val="Cambria"/>
      <family val="1"/>
    </font>
    <font>
      <sz val="12"/>
      <color rgb="FF000000"/>
      <name val="Calibri"/>
      <family val="2"/>
    </font>
    <font>
      <b/>
      <sz val="12"/>
      <color indexed="8"/>
      <name val="Arial"/>
      <family val="2"/>
    </font>
    <font>
      <sz val="12"/>
      <name val="Calibri"/>
      <family val="2"/>
    </font>
    <font>
      <sz val="12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8"/>
      <name val="Calibri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4"/>
      <color rgb="FF000000"/>
      <name val="Calibri"/>
      <family val="2"/>
    </font>
    <font>
      <sz val="12"/>
      <name val="Cambria"/>
      <family val="1"/>
    </font>
    <font>
      <b/>
      <sz val="12"/>
      <color indexed="8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C5E0B4"/>
        <bgColor rgb="FFA9D18E"/>
      </patternFill>
    </fill>
    <fill>
      <patternFill patternType="solid">
        <fgColor rgb="FFA9D18E"/>
        <bgColor rgb="FFC5E0B4"/>
      </patternFill>
    </fill>
    <fill>
      <patternFill patternType="solid">
        <fgColor rgb="FF92D050"/>
        <bgColor rgb="FFA9D18E"/>
      </patternFill>
    </fill>
    <fill>
      <patternFill patternType="solid">
        <fgColor rgb="FF9DC3E6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rgb="FFF8CBAD"/>
      </patternFill>
    </fill>
    <fill>
      <patternFill patternType="solid">
        <fgColor rgb="FFFBE5D6"/>
        <bgColor rgb="FFDEEAF6"/>
      </patternFill>
    </fill>
    <fill>
      <patternFill patternType="solid">
        <fgColor rgb="FFF7CAAC"/>
        <bgColor indexed="64"/>
      </patternFill>
    </fill>
    <fill>
      <patternFill patternType="solid">
        <fgColor rgb="FFF8CBAD"/>
        <bgColor rgb="FFFFCCCC"/>
      </patternFill>
    </fill>
    <fill>
      <patternFill patternType="solid">
        <fgColor rgb="FFFFE699"/>
        <bgColor rgb="FFFBE5D6"/>
      </patternFill>
    </fill>
    <fill>
      <patternFill patternType="solid">
        <fgColor rgb="FFFFE598"/>
        <bgColor rgb="FFFFCC00"/>
      </patternFill>
    </fill>
    <fill>
      <patternFill patternType="solid">
        <fgColor rgb="FFF4B183"/>
        <bgColor rgb="FFF2AA84"/>
      </patternFill>
    </fill>
    <fill>
      <patternFill patternType="solid">
        <fgColor rgb="FFFFFF00"/>
      </patternFill>
    </fill>
    <fill>
      <patternFill patternType="solid">
        <fgColor rgb="FFF4B083"/>
        <bgColor rgb="FFF2AA84"/>
      </patternFill>
    </fill>
    <fill>
      <patternFill patternType="solid">
        <fgColor rgb="FF99FF66"/>
        <bgColor rgb="FF92D050"/>
      </patternFill>
    </fill>
    <fill>
      <patternFill patternType="none">
        <bgColor indexed="64"/>
      </patternFill>
    </fill>
    <fill>
      <patternFill patternType="solid">
        <fgColor rgb="FFFFFFFF"/>
        <bgColor rgb="FFFFCC00"/>
      </patternFill>
    </fill>
    <fill>
      <patternFill patternType="solid">
        <fgColor rgb="FFF4B083"/>
        <bgColor rgb="FF993300"/>
      </patternFill>
    </fill>
    <fill>
      <patternFill patternType="solid">
        <fgColor rgb="FFDEEBF7"/>
        <bgColor rgb="FFDEEAF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CAF1"/>
        <bgColor rgb="FFFBE5D6"/>
      </patternFill>
    </fill>
    <fill>
      <patternFill patternType="solid">
        <fgColor theme="7" tint="0.59999389629810485"/>
        <bgColor rgb="FFFBE5D6"/>
      </patternFill>
    </fill>
    <fill>
      <patternFill patternType="solid">
        <fgColor theme="7" tint="0.59999389629810485"/>
        <bgColor rgb="FF92D050"/>
      </patternFill>
    </fill>
    <fill>
      <patternFill patternType="solid">
        <fgColor theme="7" tint="0.59999389629810485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F2AA84"/>
      </patternFill>
    </fill>
    <fill>
      <patternFill patternType="solid">
        <fgColor rgb="FFFFFF00"/>
        <bgColor rgb="FFF2AA84"/>
      </patternFill>
    </fill>
    <fill>
      <patternFill patternType="solid">
        <fgColor theme="4" tint="0.39997558519241921"/>
        <bgColor rgb="FFA9D18E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8CBAD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167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21" borderId="0">
      <protection locked="0"/>
    </xf>
    <xf numFmtId="169" fontId="14" fillId="0" borderId="0">
      <protection locked="0"/>
    </xf>
    <xf numFmtId="0" fontId="14" fillId="21" borderId="0">
      <protection locked="0"/>
    </xf>
    <xf numFmtId="167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67" fontId="14" fillId="0" borderId="0">
      <protection locked="0"/>
    </xf>
    <xf numFmtId="0" fontId="29" fillId="0" borderId="0">
      <protection locked="0"/>
    </xf>
    <xf numFmtId="43" fontId="29" fillId="0" borderId="0">
      <protection locked="0"/>
    </xf>
  </cellStyleXfs>
  <cellXfs count="52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5" fontId="1" fillId="0" borderId="0" xfId="1" applyNumberFormat="1" applyFont="1" applyProtection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2" fontId="4" fillId="0" borderId="0" xfId="0" applyNumberFormat="1" applyFont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5" fontId="7" fillId="0" borderId="1" xfId="1" applyNumberFormat="1" applyFont="1" applyBorder="1" applyAlignment="1" applyProtection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3" fontId="2" fillId="0" borderId="1" xfId="0" applyNumberFormat="1" applyFont="1" applyBorder="1" applyAlignment="1"/>
    <xf numFmtId="49" fontId="2" fillId="0" borderId="1" xfId="0" applyNumberFormat="1" applyFont="1" applyBorder="1" applyAlignment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1" applyNumberFormat="1" applyFont="1" applyBorder="1" applyAlignment="1" applyProtection="1">
      <alignment horizontal="center" vertical="center"/>
    </xf>
    <xf numFmtId="0" fontId="7" fillId="0" borderId="1" xfId="2" applyFont="1" applyBorder="1" applyAlignment="1" applyProtection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</xf>
    <xf numFmtId="0" fontId="9" fillId="0" borderId="1" xfId="3" applyFont="1" applyBorder="1" applyAlignment="1" applyProtection="1">
      <alignment horizontal="left" vertical="center"/>
    </xf>
    <xf numFmtId="49" fontId="9" fillId="0" borderId="1" xfId="0" applyNumberFormat="1" applyFont="1" applyBorder="1" applyAlignment="1"/>
    <xf numFmtId="3" fontId="9" fillId="0" borderId="1" xfId="0" applyNumberFormat="1" applyFont="1" applyBorder="1" applyAlignment="1"/>
    <xf numFmtId="0" fontId="9" fillId="0" borderId="1" xfId="0" applyFont="1" applyBorder="1" applyAlignment="1"/>
    <xf numFmtId="16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165" fontId="9" fillId="0" borderId="1" xfId="1" applyNumberFormat="1" applyFont="1" applyBorder="1" applyAlignment="1" applyProtection="1">
      <alignment horizontal="center" vertical="center"/>
    </xf>
    <xf numFmtId="0" fontId="10" fillId="0" borderId="1" xfId="2" applyFont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/>
    <xf numFmtId="3" fontId="9" fillId="0" borderId="1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 wrapText="1"/>
    </xf>
    <xf numFmtId="0" fontId="2" fillId="0" borderId="1" xfId="3" applyFont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165" fontId="7" fillId="0" borderId="1" xfId="2" applyNumberFormat="1" applyFont="1" applyBorder="1" applyAlignment="1" applyProtection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2" fillId="0" borderId="1" xfId="4" applyNumberFormat="1" applyFont="1" applyBorder="1" applyAlignment="1" applyProtection="1">
      <alignment horizontal="right" vertical="center"/>
    </xf>
    <xf numFmtId="0" fontId="2" fillId="0" borderId="1" xfId="0" applyFont="1" applyBorder="1">
      <alignment vertical="center"/>
    </xf>
    <xf numFmtId="0" fontId="1" fillId="2" borderId="0" xfId="0" applyFont="1" applyFill="1" applyAlignment="1"/>
    <xf numFmtId="0" fontId="2" fillId="2" borderId="1" xfId="0" applyFont="1" applyFill="1" applyBorder="1" applyAlignment="1"/>
    <xf numFmtId="49" fontId="2" fillId="2" borderId="1" xfId="0" applyNumberFormat="1" applyFont="1" applyFill="1" applyBorder="1" applyAlignment="1"/>
    <xf numFmtId="16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 applyProtection="1">
      <alignment horizontal="center" vertical="center"/>
    </xf>
    <xf numFmtId="0" fontId="7" fillId="2" borderId="1" xfId="2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165" fontId="7" fillId="2" borderId="1" xfId="2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right"/>
    </xf>
    <xf numFmtId="0" fontId="7" fillId="2" borderId="1" xfId="2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/>
    <xf numFmtId="3" fontId="9" fillId="2" borderId="1" xfId="0" applyNumberFormat="1" applyFont="1" applyFill="1" applyBorder="1" applyAlignment="1"/>
    <xf numFmtId="49" fontId="9" fillId="2" borderId="1" xfId="0" applyNumberFormat="1" applyFont="1" applyFill="1" applyBorder="1" applyAlignment="1"/>
    <xf numFmtId="164" fontId="9" fillId="2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165" fontId="9" fillId="2" borderId="1" xfId="1" applyNumberFormat="1" applyFont="1" applyFill="1" applyBorder="1" applyProtection="1"/>
    <xf numFmtId="0" fontId="12" fillId="2" borderId="1" xfId="0" applyFont="1" applyFill="1" applyBorder="1" applyAlignment="1"/>
    <xf numFmtId="0" fontId="13" fillId="2" borderId="0" xfId="0" applyFont="1" applyFill="1" applyAlignment="1"/>
    <xf numFmtId="3" fontId="2" fillId="2" borderId="1" xfId="0" applyNumberFormat="1" applyFont="1" applyFill="1" applyBorder="1" applyAlignment="1"/>
    <xf numFmtId="165" fontId="2" fillId="0" borderId="1" xfId="1" applyNumberFormat="1" applyFont="1" applyBorder="1" applyProtection="1"/>
    <xf numFmtId="165" fontId="2" fillId="2" borderId="1" xfId="1" applyNumberFormat="1" applyFont="1" applyFill="1" applyBorder="1" applyProtection="1"/>
    <xf numFmtId="0" fontId="2" fillId="2" borderId="1" xfId="0" applyFont="1" applyFill="1" applyBorder="1" applyAlignment="1">
      <alignment horizontal="left" vertical="center"/>
    </xf>
    <xf numFmtId="0" fontId="11" fillId="2" borderId="0" xfId="0" applyFont="1" applyFill="1" applyAlignment="1"/>
    <xf numFmtId="0" fontId="2" fillId="0" borderId="1" xfId="5" applyFont="1" applyFill="1" applyBorder="1" applyAlignment="1" applyProtection="1">
      <alignment horizontal="center" vertical="center"/>
    </xf>
    <xf numFmtId="0" fontId="2" fillId="2" borderId="1" xfId="5" applyFont="1" applyFill="1" applyBorder="1" applyAlignment="1" applyProtection="1">
      <alignment horizontal="center" vertical="center"/>
    </xf>
    <xf numFmtId="0" fontId="2" fillId="0" borderId="0" xfId="0" applyFont="1" applyAlignment="1"/>
    <xf numFmtId="0" fontId="5" fillId="2" borderId="1" xfId="0" applyFont="1" applyFill="1" applyBorder="1" applyAlignment="1"/>
    <xf numFmtId="0" fontId="5" fillId="0" borderId="1" xfId="0" applyFont="1" applyBorder="1" applyAlignment="1"/>
    <xf numFmtId="0" fontId="1" fillId="0" borderId="1" xfId="0" applyFont="1" applyBorder="1" applyAlignment="1"/>
    <xf numFmtId="49" fontId="1" fillId="0" borderId="1" xfId="0" applyNumberFormat="1" applyFont="1" applyBorder="1" applyAlignment="1"/>
    <xf numFmtId="165" fontId="1" fillId="0" borderId="1" xfId="1" applyNumberFormat="1" applyFont="1" applyBorder="1" applyProtection="1"/>
    <xf numFmtId="0" fontId="3" fillId="0" borderId="1" xfId="0" applyFont="1" applyBorder="1" applyAlignment="1"/>
    <xf numFmtId="164" fontId="1" fillId="0" borderId="1" xfId="0" applyNumberFormat="1" applyFont="1" applyBorder="1" applyAlignment="1">
      <alignment horizontal="right"/>
    </xf>
    <xf numFmtId="167" fontId="14" fillId="0" borderId="0" xfId="1" applyProtection="1"/>
    <xf numFmtId="167" fontId="14" fillId="3" borderId="0" xfId="1" applyFill="1" applyProtection="1"/>
    <xf numFmtId="0" fontId="15" fillId="3" borderId="0" xfId="0" applyFont="1" applyFill="1" applyAlignment="1"/>
    <xf numFmtId="0" fontId="15" fillId="0" borderId="1" xfId="0" applyFont="1" applyBorder="1" applyAlignment="1"/>
    <xf numFmtId="167" fontId="15" fillId="0" borderId="1" xfId="1" applyFont="1" applyBorder="1" applyProtection="1"/>
    <xf numFmtId="167" fontId="15" fillId="0" borderId="1" xfId="1" applyFont="1" applyBorder="1" applyAlignment="1" applyProtection="1">
      <alignment horizontal="center"/>
    </xf>
    <xf numFmtId="167" fontId="15" fillId="3" borderId="1" xfId="1" applyFont="1" applyFill="1" applyBorder="1" applyProtection="1"/>
    <xf numFmtId="0" fontId="15" fillId="2" borderId="1" xfId="0" applyFont="1" applyFill="1" applyBorder="1" applyAlignment="1"/>
    <xf numFmtId="167" fontId="14" fillId="2" borderId="1" xfId="1" applyFill="1" applyBorder="1" applyProtection="1"/>
    <xf numFmtId="167" fontId="15" fillId="0" borderId="0" xfId="0" applyNumberFormat="1" applyFont="1" applyAlignment="1"/>
    <xf numFmtId="167" fontId="14" fillId="3" borderId="3" xfId="1" applyFill="1" applyBorder="1" applyProtection="1"/>
    <xf numFmtId="0" fontId="15" fillId="4" borderId="1" xfId="0" applyFont="1" applyFill="1" applyBorder="1" applyAlignment="1"/>
    <xf numFmtId="167" fontId="14" fillId="4" borderId="1" xfId="1" applyFill="1" applyBorder="1" applyProtection="1"/>
    <xf numFmtId="167" fontId="14" fillId="5" borderId="1" xfId="1" applyFill="1" applyBorder="1" applyProtection="1"/>
    <xf numFmtId="0" fontId="15" fillId="6" borderId="1" xfId="0" applyFont="1" applyFill="1" applyBorder="1" applyAlignment="1"/>
    <xf numFmtId="167" fontId="14" fillId="6" borderId="1" xfId="1" applyFill="1" applyBorder="1" applyProtection="1"/>
    <xf numFmtId="0" fontId="15" fillId="0" borderId="4" xfId="0" applyFont="1" applyBorder="1" applyAlignment="1"/>
    <xf numFmtId="167" fontId="14" fillId="0" borderId="4" xfId="1" applyBorder="1" applyProtection="1"/>
    <xf numFmtId="0" fontId="15" fillId="0" borderId="2" xfId="0" applyFont="1" applyBorder="1" applyAlignment="1"/>
    <xf numFmtId="0" fontId="18" fillId="0" borderId="0" xfId="0" applyFont="1" applyAlignment="1"/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left"/>
    </xf>
    <xf numFmtId="165" fontId="14" fillId="0" borderId="1" xfId="1" applyNumberFormat="1" applyBorder="1" applyAlignment="1" applyProtection="1">
      <alignment horizontal="center"/>
    </xf>
    <xf numFmtId="165" fontId="14" fillId="0" borderId="0" xfId="1" applyNumberFormat="1" applyAlignment="1" applyProtection="1">
      <alignment horizontal="center"/>
    </xf>
    <xf numFmtId="165" fontId="14" fillId="0" borderId="0" xfId="1" applyNumberFormat="1" applyProtection="1"/>
    <xf numFmtId="168" fontId="14" fillId="0" borderId="0" xfId="1" applyNumberFormat="1" applyProtection="1"/>
    <xf numFmtId="168" fontId="14" fillId="0" borderId="0" xfId="1" applyNumberFormat="1" applyAlignment="1" applyProtection="1">
      <alignment horizontal="right"/>
    </xf>
    <xf numFmtId="3" fontId="14" fillId="0" borderId="0" xfId="1" applyNumberFormat="1" applyProtection="1"/>
    <xf numFmtId="165" fontId="14" fillId="0" borderId="0" xfId="1" applyNumberFormat="1" applyAlignment="1" applyProtection="1">
      <alignment horizontal="left"/>
    </xf>
    <xf numFmtId="165" fontId="14" fillId="0" borderId="0" xfId="1" applyNumberFormat="1" applyAlignment="1" applyProtection="1">
      <alignment horizontal="left" wrapText="1"/>
    </xf>
    <xf numFmtId="165" fontId="15" fillId="0" borderId="1" xfId="1" applyNumberFormat="1" applyFont="1" applyBorder="1" applyProtection="1"/>
    <xf numFmtId="0" fontId="1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4" fillId="7" borderId="1" xfId="1" applyNumberFormat="1" applyFill="1" applyBorder="1" applyAlignment="1" applyProtection="1">
      <alignment horizontal="center"/>
    </xf>
    <xf numFmtId="165" fontId="14" fillId="0" borderId="1" xfId="1" applyNumberFormat="1" applyBorder="1" applyProtection="1"/>
    <xf numFmtId="0" fontId="15" fillId="0" borderId="1" xfId="0" applyFont="1" applyBorder="1" applyAlignment="1">
      <alignment horizontal="center"/>
    </xf>
    <xf numFmtId="0" fontId="19" fillId="0" borderId="1" xfId="0" applyFont="1" applyBorder="1">
      <alignment vertical="center"/>
    </xf>
    <xf numFmtId="165" fontId="14" fillId="7" borderId="1" xfId="1" applyNumberFormat="1" applyFill="1" applyBorder="1" applyProtection="1"/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49" fontId="13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1" fillId="0" borderId="0" xfId="1" applyNumberFormat="1" applyFont="1" applyAlignment="1" applyProtection="1">
      <alignment horizontal="center" vertical="center"/>
    </xf>
    <xf numFmtId="0" fontId="3" fillId="0" borderId="0" xfId="0" applyFont="1">
      <alignment vertical="center"/>
    </xf>
    <xf numFmtId="165" fontId="1" fillId="0" borderId="0" xfId="1" applyNumberFormat="1" applyFont="1" applyAlignment="1" applyProtection="1">
      <alignment vertical="center"/>
    </xf>
    <xf numFmtId="167" fontId="1" fillId="0" borderId="0" xfId="1" applyFont="1" applyAlignment="1" applyProtection="1">
      <alignment vertical="center"/>
    </xf>
    <xf numFmtId="165" fontId="2" fillId="0" borderId="0" xfId="1" applyNumberFormat="1" applyFont="1" applyProtection="1"/>
    <xf numFmtId="0" fontId="1" fillId="6" borderId="0" xfId="0" applyFont="1" applyFill="1">
      <alignment vertical="center"/>
    </xf>
    <xf numFmtId="3" fontId="1" fillId="0" borderId="0" xfId="0" applyNumberFormat="1" applyFont="1">
      <alignment vertical="center"/>
    </xf>
    <xf numFmtId="169" fontId="20" fillId="0" borderId="0" xfId="6" applyFont="1" applyAlignment="1" applyProtection="1">
      <alignment vertical="center"/>
    </xf>
    <xf numFmtId="0" fontId="1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2" fontId="5" fillId="9" borderId="1" xfId="0" applyNumberFormat="1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right" vertical="center" wrapText="1"/>
    </xf>
    <xf numFmtId="165" fontId="5" fillId="9" borderId="1" xfId="1" applyNumberFormat="1" applyFont="1" applyFill="1" applyBorder="1" applyAlignment="1" applyProtection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167" fontId="2" fillId="8" borderId="1" xfId="1" applyFont="1" applyFill="1" applyBorder="1" applyAlignment="1" applyProtection="1">
      <alignment horizontal="center" vertical="center" wrapText="1"/>
    </xf>
    <xf numFmtId="165" fontId="2" fillId="10" borderId="1" xfId="1" applyNumberFormat="1" applyFont="1" applyFill="1" applyBorder="1" applyAlignment="1" applyProtection="1">
      <alignment horizontal="center" vertical="center" wrapText="1"/>
    </xf>
    <xf numFmtId="165" fontId="2" fillId="8" borderId="1" xfId="1" applyNumberFormat="1" applyFont="1" applyFill="1" applyBorder="1" applyAlignment="1" applyProtection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69" fontId="9" fillId="8" borderId="1" xfId="6" applyFont="1" applyFill="1" applyBorder="1" applyAlignment="1" applyProtection="1">
      <alignment horizontal="center" vertical="center" wrapText="1"/>
    </xf>
    <xf numFmtId="1" fontId="2" fillId="8" borderId="1" xfId="0" applyNumberFormat="1" applyFont="1" applyFill="1" applyBorder="1" applyAlignment="1">
      <alignment horizontal="right" vertical="center" wrapText="1"/>
    </xf>
    <xf numFmtId="2" fontId="5" fillId="9" borderId="1" xfId="0" applyNumberFormat="1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49" fontId="5" fillId="13" borderId="1" xfId="0" applyNumberFormat="1" applyFont="1" applyFill="1" applyBorder="1">
      <alignment vertical="center"/>
    </xf>
    <xf numFmtId="0" fontId="5" fillId="1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 applyProtection="1">
      <alignment vertical="center"/>
    </xf>
    <xf numFmtId="167" fontId="1" fillId="0" borderId="1" xfId="1" applyFont="1" applyBorder="1" applyAlignment="1" applyProtection="1">
      <alignment horizontal="center" vertical="center" wrapText="1"/>
    </xf>
    <xf numFmtId="0" fontId="1" fillId="0" borderId="1" xfId="2" applyFont="1" applyBorder="1" applyAlignment="1" applyProtection="1">
      <alignment horizontal="center" vertical="center" wrapText="1"/>
    </xf>
    <xf numFmtId="165" fontId="4" fillId="0" borderId="1" xfId="2" applyNumberFormat="1" applyFont="1" applyBorder="1" applyAlignment="1" applyProtection="1">
      <alignment horizontal="center" vertical="center" wrapText="1"/>
    </xf>
    <xf numFmtId="3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165" fontId="4" fillId="6" borderId="1" xfId="2" applyNumberFormat="1" applyFont="1" applyFill="1" applyBorder="1" applyAlignment="1" applyProtection="1">
      <alignment horizontal="center" vertical="center" wrapText="1"/>
    </xf>
    <xf numFmtId="165" fontId="1" fillId="0" borderId="1" xfId="1" applyNumberFormat="1" applyFont="1" applyBorder="1" applyAlignment="1" applyProtection="1">
      <alignment horizontal="center" vertical="center" wrapText="1"/>
    </xf>
    <xf numFmtId="165" fontId="5" fillId="0" borderId="1" xfId="1" applyNumberFormat="1" applyFont="1" applyBorder="1" applyAlignment="1" applyProtection="1">
      <alignment vertical="center"/>
    </xf>
    <xf numFmtId="169" fontId="20" fillId="0" borderId="1" xfId="6" applyFont="1" applyBorder="1" applyAlignment="1" applyProtection="1">
      <alignment vertical="center"/>
    </xf>
    <xf numFmtId="1" fontId="1" fillId="14" borderId="1" xfId="0" applyNumberFormat="1" applyFont="1" applyFill="1" applyBorder="1" applyAlignment="1">
      <alignment horizontal="right" vertical="center"/>
    </xf>
    <xf numFmtId="49" fontId="5" fillId="12" borderId="1" xfId="0" applyNumberFormat="1" applyFont="1" applyFill="1" applyBorder="1">
      <alignment vertical="center"/>
    </xf>
    <xf numFmtId="3" fontId="5" fillId="12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>
      <alignment vertical="center"/>
    </xf>
    <xf numFmtId="3" fontId="23" fillId="15" borderId="6" xfId="0" applyNumberFormat="1" applyFont="1" applyFill="1" applyBorder="1">
      <alignment vertical="center"/>
    </xf>
    <xf numFmtId="165" fontId="25" fillId="0" borderId="6" xfId="0" applyNumberFormat="1" applyFont="1" applyBorder="1" applyAlignment="1"/>
    <xf numFmtId="165" fontId="26" fillId="0" borderId="6" xfId="0" applyNumberFormat="1" applyFont="1" applyBorder="1" applyAlignment="1"/>
    <xf numFmtId="49" fontId="27" fillId="12" borderId="1" xfId="0" applyNumberFormat="1" applyFont="1" applyFill="1" applyBorder="1">
      <alignment vertical="center"/>
    </xf>
    <xf numFmtId="3" fontId="27" fillId="12" borderId="1" xfId="0" applyNumberFormat="1" applyFont="1" applyFill="1" applyBorder="1" applyAlignment="1">
      <alignment horizontal="center" vertical="center"/>
    </xf>
    <xf numFmtId="3" fontId="27" fillId="0" borderId="1" xfId="0" applyNumberFormat="1" applyFont="1" applyBorder="1">
      <alignment vertical="center"/>
    </xf>
    <xf numFmtId="164" fontId="27" fillId="0" borderId="1" xfId="0" applyNumberFormat="1" applyFont="1" applyBorder="1" applyAlignment="1">
      <alignment horizontal="right" vertical="center"/>
    </xf>
    <xf numFmtId="3" fontId="27" fillId="0" borderId="1" xfId="0" applyNumberFormat="1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1" fillId="0" borderId="1" xfId="2" applyFont="1" applyBorder="1" applyAlignment="1" applyProtection="1">
      <alignment horizontal="center" vertical="center" wrapText="1"/>
    </xf>
    <xf numFmtId="3" fontId="11" fillId="0" borderId="1" xfId="0" applyNumberFormat="1" applyFont="1" applyBorder="1">
      <alignment vertical="center"/>
    </xf>
    <xf numFmtId="1" fontId="11" fillId="14" borderId="1" xfId="0" applyNumberFormat="1" applyFont="1" applyFill="1" applyBorder="1" applyAlignment="1">
      <alignment horizontal="right" vertical="center"/>
    </xf>
    <xf numFmtId="166" fontId="5" fillId="0" borderId="1" xfId="4" applyNumberFormat="1" applyFont="1" applyBorder="1" applyAlignment="1" applyProtection="1">
      <alignment horizontal="right" vertical="center"/>
    </xf>
    <xf numFmtId="1" fontId="1" fillId="14" borderId="1" xfId="4" applyNumberFormat="1" applyFont="1" applyFill="1" applyBorder="1" applyAlignment="1" applyProtection="1">
      <alignment horizontal="right" vertical="center"/>
    </xf>
    <xf numFmtId="0" fontId="1" fillId="14" borderId="1" xfId="0" applyFont="1" applyFill="1" applyBorder="1" applyAlignment="1">
      <alignment horizontal="right" vertical="center"/>
    </xf>
    <xf numFmtId="0" fontId="27" fillId="1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3" fontId="1" fillId="7" borderId="1" xfId="0" applyNumberFormat="1" applyFont="1" applyFill="1" applyBorder="1">
      <alignment vertical="center"/>
    </xf>
    <xf numFmtId="49" fontId="5" fillId="12" borderId="1" xfId="0" applyNumberFormat="1" applyFont="1" applyFill="1" applyBorder="1" applyAlignment="1">
      <alignment horizontal="left" vertical="top"/>
    </xf>
    <xf numFmtId="49" fontId="5" fillId="12" borderId="1" xfId="0" applyNumberFormat="1" applyFont="1" applyFill="1" applyBorder="1" applyAlignment="1">
      <alignment horizontal="left" vertical="center"/>
    </xf>
    <xf numFmtId="164" fontId="5" fillId="0" borderId="1" xfId="0" quotePrefix="1" applyNumberFormat="1" applyFont="1" applyBorder="1" applyAlignment="1">
      <alignment horizontal="right" vertical="center"/>
    </xf>
    <xf numFmtId="1" fontId="1" fillId="16" borderId="1" xfId="0" applyNumberFormat="1" applyFont="1" applyFill="1" applyBorder="1" applyAlignment="1">
      <alignment horizontal="right" vertical="center"/>
    </xf>
    <xf numFmtId="49" fontId="5" fillId="17" borderId="1" xfId="0" applyNumberFormat="1" applyFont="1" applyFill="1" applyBorder="1">
      <alignment vertical="center"/>
    </xf>
    <xf numFmtId="3" fontId="5" fillId="17" borderId="1" xfId="0" applyNumberFormat="1" applyFont="1" applyFill="1" applyBorder="1" applyAlignment="1">
      <alignment horizontal="center" vertical="center"/>
    </xf>
    <xf numFmtId="49" fontId="27" fillId="17" borderId="1" xfId="0" applyNumberFormat="1" applyFont="1" applyFill="1" applyBorder="1">
      <alignment vertical="center"/>
    </xf>
    <xf numFmtId="3" fontId="27" fillId="1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>
      <alignment vertical="center"/>
    </xf>
    <xf numFmtId="3" fontId="1" fillId="19" borderId="1" xfId="0" applyNumberFormat="1" applyFont="1" applyFill="1" applyBorder="1">
      <alignment vertical="center"/>
    </xf>
    <xf numFmtId="0" fontId="5" fillId="8" borderId="1" xfId="0" applyFont="1" applyFill="1" applyBorder="1">
      <alignment vertical="center"/>
    </xf>
    <xf numFmtId="49" fontId="5" fillId="8" borderId="1" xfId="0" applyNumberFormat="1" applyFont="1" applyFill="1" applyBorder="1">
      <alignment vertical="center"/>
    </xf>
    <xf numFmtId="3" fontId="5" fillId="8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1" fillId="20" borderId="1" xfId="0" quotePrefix="1" applyFont="1" applyFill="1" applyBorder="1" applyAlignment="1">
      <alignment horizontal="right" vertical="center"/>
    </xf>
    <xf numFmtId="0" fontId="19" fillId="18" borderId="7" xfId="0" applyFont="1" applyFill="1" applyBorder="1">
      <alignment vertical="center"/>
    </xf>
    <xf numFmtId="165" fontId="14" fillId="0" borderId="7" xfId="1" applyNumberFormat="1" applyBorder="1" applyProtection="1"/>
    <xf numFmtId="0" fontId="0" fillId="0" borderId="7" xfId="0" applyBorder="1">
      <alignment vertical="center"/>
    </xf>
    <xf numFmtId="165" fontId="14" fillId="7" borderId="7" xfId="1" applyNumberFormat="1" applyFill="1" applyBorder="1" applyProtection="1"/>
    <xf numFmtId="165" fontId="15" fillId="0" borderId="0" xfId="0" applyNumberFormat="1" applyFont="1" applyAlignment="1">
      <alignment horizontal="center"/>
    </xf>
    <xf numFmtId="0" fontId="38" fillId="23" borderId="7" xfId="0" applyFont="1" applyFill="1" applyBorder="1" applyAlignment="1">
      <alignment horizontal="left" vertical="center"/>
    </xf>
    <xf numFmtId="0" fontId="38" fillId="23" borderId="7" xfId="0" applyFont="1" applyFill="1" applyBorder="1" applyAlignment="1">
      <alignment horizontal="center" vertical="center"/>
    </xf>
    <xf numFmtId="0" fontId="5" fillId="24" borderId="1" xfId="0" applyFont="1" applyFill="1" applyBorder="1">
      <alignment vertical="center"/>
    </xf>
    <xf numFmtId="49" fontId="39" fillId="8" borderId="1" xfId="0" applyNumberFormat="1" applyFont="1" applyFill="1" applyBorder="1">
      <alignment vertical="center"/>
    </xf>
    <xf numFmtId="0" fontId="40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3" fontId="5" fillId="12" borderId="1" xfId="0" quotePrefix="1" applyNumberFormat="1" applyFont="1" applyFill="1" applyBorder="1" applyAlignment="1">
      <alignment horizontal="left" vertical="center"/>
    </xf>
    <xf numFmtId="0" fontId="15" fillId="22" borderId="7" xfId="0" applyFont="1" applyFill="1" applyBorder="1" applyAlignment="1">
      <alignment horizontal="center" vertical="center"/>
    </xf>
    <xf numFmtId="0" fontId="43" fillId="0" borderId="7" xfId="0" applyFont="1" applyBorder="1" applyAlignment="1">
      <alignment horizontal="center"/>
    </xf>
    <xf numFmtId="165" fontId="21" fillId="0" borderId="1" xfId="11" applyNumberFormat="1" applyFont="1" applyBorder="1" applyAlignment="1" applyProtection="1">
      <alignment horizontal="center" vertical="center"/>
    </xf>
    <xf numFmtId="0" fontId="44" fillId="0" borderId="1" xfId="0" applyFont="1" applyBorder="1" applyAlignment="1">
      <alignment horizontal="center"/>
    </xf>
    <xf numFmtId="0" fontId="21" fillId="0" borderId="1" xfId="2" applyFont="1" applyBorder="1" applyAlignment="1" applyProtection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42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9" fillId="0" borderId="1" xfId="10" applyFont="1" applyBorder="1" applyAlignment="1" applyProtection="1">
      <alignment horizontal="center" vertical="center"/>
    </xf>
    <xf numFmtId="1" fontId="39" fillId="0" borderId="1" xfId="7" applyNumberFormat="1" applyFont="1" applyFill="1" applyBorder="1" applyAlignment="1" applyProtection="1">
      <alignment horizontal="center" vertical="center"/>
    </xf>
    <xf numFmtId="1" fontId="39" fillId="0" borderId="1" xfId="8" applyNumberFormat="1" applyFont="1" applyBorder="1" applyAlignment="1" applyProtection="1">
      <alignment horizontal="center" vertical="center"/>
    </xf>
    <xf numFmtId="0" fontId="39" fillId="0" borderId="1" xfId="9" applyFont="1" applyBorder="1" applyAlignment="1" applyProtection="1">
      <alignment horizontal="center" vertical="center"/>
    </xf>
    <xf numFmtId="165" fontId="39" fillId="0" borderId="1" xfId="11" applyNumberFormat="1" applyFont="1" applyBorder="1" applyAlignment="1" applyProtection="1">
      <alignment horizontal="center"/>
    </xf>
    <xf numFmtId="0" fontId="47" fillId="0" borderId="1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0" fillId="0" borderId="0" xfId="0" applyAlignment="1"/>
    <xf numFmtId="0" fontId="48" fillId="0" borderId="8" xfId="0" applyFont="1" applyBorder="1" applyAlignment="1">
      <alignment horizontal="center"/>
    </xf>
    <xf numFmtId="170" fontId="5" fillId="0" borderId="8" xfId="0" quotePrefix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2" fontId="2" fillId="8" borderId="9" xfId="0" applyNumberFormat="1" applyFont="1" applyFill="1" applyBorder="1" applyAlignment="1">
      <alignment horizontal="center" vertical="center" wrapText="1"/>
    </xf>
    <xf numFmtId="2" fontId="5" fillId="9" borderId="9" xfId="0" applyNumberFormat="1" applyFont="1" applyFill="1" applyBorder="1" applyAlignment="1">
      <alignment horizontal="center" vertical="center" wrapText="1"/>
    </xf>
    <xf numFmtId="49" fontId="5" fillId="9" borderId="9" xfId="0" applyNumberFormat="1" applyFont="1" applyFill="1" applyBorder="1" applyAlignment="1">
      <alignment horizontal="center" vertical="center" wrapText="1"/>
    </xf>
    <xf numFmtId="2" fontId="5" fillId="9" borderId="9" xfId="0" applyNumberFormat="1" applyFont="1" applyFill="1" applyBorder="1" applyAlignment="1">
      <alignment horizontal="left" vertical="center" wrapText="1"/>
    </xf>
    <xf numFmtId="164" fontId="5" fillId="9" borderId="9" xfId="0" applyNumberFormat="1" applyFont="1" applyFill="1" applyBorder="1" applyAlignment="1">
      <alignment horizontal="right" vertical="center" wrapText="1"/>
    </xf>
    <xf numFmtId="165" fontId="5" fillId="9" borderId="9" xfId="1" applyNumberFormat="1" applyFont="1" applyFill="1" applyBorder="1" applyAlignment="1" applyProtection="1">
      <alignment horizontal="center" vertical="center" wrapText="1"/>
    </xf>
    <xf numFmtId="2" fontId="6" fillId="9" borderId="9" xfId="0" applyNumberFormat="1" applyFont="1" applyFill="1" applyBorder="1" applyAlignment="1">
      <alignment horizontal="center" vertical="center" wrapText="1"/>
    </xf>
    <xf numFmtId="167" fontId="2" fillId="8" borderId="9" xfId="1" applyFont="1" applyFill="1" applyBorder="1" applyAlignment="1" applyProtection="1">
      <alignment horizontal="center" vertical="center" wrapText="1"/>
    </xf>
    <xf numFmtId="165" fontId="2" fillId="10" borderId="9" xfId="1" applyNumberFormat="1" applyFont="1" applyFill="1" applyBorder="1" applyAlignment="1" applyProtection="1">
      <alignment horizontal="center" vertical="center" wrapText="1"/>
    </xf>
    <xf numFmtId="165" fontId="2" fillId="8" borderId="9" xfId="1" applyNumberFormat="1" applyFont="1" applyFill="1" applyBorder="1" applyAlignment="1" applyProtection="1">
      <alignment horizontal="center" vertical="center" wrapText="1"/>
    </xf>
    <xf numFmtId="3" fontId="2" fillId="8" borderId="9" xfId="0" applyNumberFormat="1" applyFont="1" applyFill="1" applyBorder="1" applyAlignment="1">
      <alignment horizontal="center" vertical="center" wrapText="1"/>
    </xf>
    <xf numFmtId="1" fontId="2" fillId="8" borderId="9" xfId="0" applyNumberFormat="1" applyFont="1" applyFill="1" applyBorder="1" applyAlignment="1">
      <alignment horizontal="right" vertical="center" wrapText="1"/>
    </xf>
    <xf numFmtId="0" fontId="49" fillId="0" borderId="10" xfId="0" applyFont="1" applyBorder="1" applyAlignment="1">
      <alignment horizontal="center" vertical="center"/>
    </xf>
    <xf numFmtId="49" fontId="5" fillId="25" borderId="1" xfId="0" quotePrefix="1" applyNumberFormat="1" applyFont="1" applyFill="1" applyBorder="1">
      <alignment vertical="center"/>
    </xf>
    <xf numFmtId="49" fontId="5" fillId="26" borderId="1" xfId="0" applyNumberFormat="1" applyFont="1" applyFill="1" applyBorder="1">
      <alignment vertical="center"/>
    </xf>
    <xf numFmtId="49" fontId="5" fillId="25" borderId="1" xfId="0" applyNumberFormat="1" applyFont="1" applyFill="1" applyBorder="1">
      <alignment vertical="center"/>
    </xf>
    <xf numFmtId="49" fontId="39" fillId="27" borderId="1" xfId="0" applyNumberFormat="1" applyFont="1" applyFill="1" applyBorder="1">
      <alignment vertical="center"/>
    </xf>
    <xf numFmtId="0" fontId="38" fillId="0" borderId="10" xfId="0" quotePrefix="1" applyFont="1" applyBorder="1" applyAlignment="1">
      <alignment horizontal="right" vertical="center"/>
    </xf>
    <xf numFmtId="0" fontId="47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1" fillId="0" borderId="10" xfId="0" applyFont="1" applyBorder="1">
      <alignment vertical="center"/>
    </xf>
    <xf numFmtId="165" fontId="2" fillId="0" borderId="10" xfId="1" applyNumberFormat="1" applyFont="1" applyBorder="1" applyProtection="1"/>
    <xf numFmtId="165" fontId="1" fillId="0" borderId="10" xfId="1" applyNumberFormat="1" applyFont="1" applyBorder="1" applyProtection="1"/>
    <xf numFmtId="1" fontId="1" fillId="16" borderId="10" xfId="0" applyNumberFormat="1" applyFont="1" applyFill="1" applyBorder="1" applyAlignment="1">
      <alignment horizontal="right" vertical="center"/>
    </xf>
    <xf numFmtId="171" fontId="50" fillId="18" borderId="13" xfId="1" applyNumberFormat="1" applyFont="1" applyFill="1" applyBorder="1" applyProtection="1"/>
    <xf numFmtId="171" fontId="50" fillId="18" borderId="13" xfId="1" applyNumberFormat="1" applyFont="1" applyFill="1" applyBorder="1" applyAlignment="1" applyProtection="1">
      <alignment horizontal="right"/>
    </xf>
    <xf numFmtId="0" fontId="50" fillId="0" borderId="13" xfId="2" quotePrefix="1" applyFont="1" applyBorder="1" applyAlignment="1" applyProtection="1">
      <alignment horizontal="center" vertical="center"/>
    </xf>
    <xf numFmtId="0" fontId="37" fillId="0" borderId="13" xfId="0" applyFont="1" applyBorder="1" applyAlignment="1"/>
    <xf numFmtId="3" fontId="1" fillId="0" borderId="14" xfId="0" applyNumberFormat="1" applyFont="1" applyBorder="1">
      <alignment vertical="center"/>
    </xf>
    <xf numFmtId="3" fontId="24" fillId="0" borderId="15" xfId="0" applyNumberFormat="1" applyFont="1" applyBorder="1">
      <alignment vertical="center"/>
    </xf>
    <xf numFmtId="165" fontId="14" fillId="18" borderId="13" xfId="1" applyNumberFormat="1" applyFill="1" applyBorder="1">
      <protection locked="0"/>
    </xf>
    <xf numFmtId="171" fontId="37" fillId="18" borderId="16" xfId="1" applyNumberFormat="1" applyFont="1" applyFill="1" applyBorder="1" applyProtection="1"/>
    <xf numFmtId="0" fontId="50" fillId="0" borderId="16" xfId="2" applyFont="1" applyBorder="1" applyAlignment="1" applyProtection="1">
      <alignment horizontal="center" vertical="center" wrapText="1"/>
    </xf>
    <xf numFmtId="0" fontId="37" fillId="0" borderId="16" xfId="0" applyFont="1" applyBorder="1" applyAlignment="1">
      <alignment horizontal="center" vertical="center"/>
    </xf>
    <xf numFmtId="0" fontId="50" fillId="0" borderId="16" xfId="2" quotePrefix="1" applyFont="1" applyBorder="1" applyAlignment="1" applyProtection="1">
      <alignment horizontal="center" vertical="center"/>
    </xf>
    <xf numFmtId="0" fontId="37" fillId="0" borderId="16" xfId="0" applyFont="1" applyBorder="1" applyAlignment="1"/>
    <xf numFmtId="0" fontId="0" fillId="0" borderId="16" xfId="0" applyBorder="1" applyAlignment="1">
      <alignment horizontal="center"/>
    </xf>
    <xf numFmtId="0" fontId="49" fillId="0" borderId="16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38" fillId="0" borderId="16" xfId="0" quotePrefix="1" applyFont="1" applyBorder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13" fillId="0" borderId="16" xfId="0" applyFont="1" applyBorder="1">
      <alignment vertical="center"/>
    </xf>
    <xf numFmtId="0" fontId="1" fillId="0" borderId="16" xfId="0" applyFont="1" applyBorder="1">
      <alignment vertical="center"/>
    </xf>
    <xf numFmtId="165" fontId="2" fillId="0" borderId="16" xfId="1" applyNumberFormat="1" applyFont="1" applyBorder="1" applyProtection="1"/>
    <xf numFmtId="165" fontId="1" fillId="0" borderId="16" xfId="1" applyNumberFormat="1" applyFont="1" applyBorder="1" applyProtection="1"/>
    <xf numFmtId="165" fontId="14" fillId="18" borderId="16" xfId="1" applyNumberFormat="1" applyFill="1" applyBorder="1">
      <protection locked="0"/>
    </xf>
    <xf numFmtId="1" fontId="1" fillId="16" borderId="16" xfId="0" applyNumberFormat="1" applyFont="1" applyFill="1" applyBorder="1" applyAlignment="1">
      <alignment horizontal="right" vertical="center"/>
    </xf>
    <xf numFmtId="49" fontId="5" fillId="8" borderId="16" xfId="0" applyNumberFormat="1" applyFont="1" applyFill="1" applyBorder="1">
      <alignment vertical="center"/>
    </xf>
    <xf numFmtId="0" fontId="5" fillId="0" borderId="16" xfId="0" applyFont="1" applyBorder="1">
      <alignment vertical="center"/>
    </xf>
    <xf numFmtId="0" fontId="44" fillId="0" borderId="16" xfId="0" applyFont="1" applyBorder="1" applyAlignment="1">
      <alignment horizontal="center"/>
    </xf>
    <xf numFmtId="0" fontId="6" fillId="0" borderId="16" xfId="0" applyFont="1" applyBorder="1">
      <alignment vertical="center"/>
    </xf>
    <xf numFmtId="171" fontId="37" fillId="18" borderId="1" xfId="1" applyNumberFormat="1" applyFont="1" applyFill="1" applyBorder="1" applyProtection="1"/>
    <xf numFmtId="0" fontId="37" fillId="0" borderId="1" xfId="0" applyFont="1" applyBorder="1" applyAlignment="1"/>
    <xf numFmtId="0" fontId="37" fillId="0" borderId="1" xfId="0" applyFont="1" applyBorder="1" applyAlignment="1">
      <alignment horizontal="center" vertical="center"/>
    </xf>
    <xf numFmtId="0" fontId="50" fillId="0" borderId="1" xfId="2" quotePrefix="1" applyFont="1" applyBorder="1" applyAlignment="1" applyProtection="1">
      <alignment horizontal="center" vertical="center"/>
    </xf>
    <xf numFmtId="165" fontId="14" fillId="18" borderId="1" xfId="1" applyNumberFormat="1" applyFill="1" applyBorder="1">
      <protection locked="0"/>
    </xf>
    <xf numFmtId="0" fontId="39" fillId="0" borderId="1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54" fillId="20" borderId="16" xfId="0" quotePrefix="1" applyFont="1" applyFill="1" applyBorder="1" applyAlignment="1">
      <alignment horizontal="right" vertical="center"/>
    </xf>
    <xf numFmtId="0" fontId="54" fillId="0" borderId="0" xfId="0" applyFont="1" applyAlignment="1"/>
    <xf numFmtId="0" fontId="39" fillId="0" borderId="1" xfId="0" applyFont="1" applyBorder="1" applyAlignment="1">
      <alignment horizontal="center" vertical="center" wrapText="1"/>
    </xf>
    <xf numFmtId="0" fontId="38" fillId="23" borderId="1" xfId="0" applyFont="1" applyFill="1" applyBorder="1" applyAlignment="1">
      <alignment horizontal="left" vertical="center"/>
    </xf>
    <xf numFmtId="0" fontId="38" fillId="0" borderId="1" xfId="0" quotePrefix="1" applyFont="1" applyBorder="1" applyAlignment="1">
      <alignment horizontal="right" vertical="center"/>
    </xf>
    <xf numFmtId="0" fontId="53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8" fillId="0" borderId="10" xfId="0" applyFont="1" applyBorder="1" applyAlignment="1">
      <alignment horizontal="left" vertical="center"/>
    </xf>
    <xf numFmtId="0" fontId="38" fillId="0" borderId="16" xfId="0" applyFont="1" applyBorder="1" applyAlignment="1">
      <alignment horizontal="left" vertical="center"/>
    </xf>
    <xf numFmtId="3" fontId="39" fillId="0" borderId="1" xfId="0" applyNumberFormat="1" applyFont="1" applyBorder="1">
      <alignment vertical="center"/>
    </xf>
    <xf numFmtId="0" fontId="55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38" fillId="0" borderId="7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2" fontId="39" fillId="9" borderId="1" xfId="0" applyNumberFormat="1" applyFont="1" applyFill="1" applyBorder="1" applyAlignment="1">
      <alignment horizontal="center" vertical="center" wrapText="1"/>
    </xf>
    <xf numFmtId="2" fontId="39" fillId="9" borderId="9" xfId="0" applyNumberFormat="1" applyFont="1" applyFill="1" applyBorder="1" applyAlignment="1">
      <alignment horizontal="center" vertical="center" wrapText="1"/>
    </xf>
    <xf numFmtId="3" fontId="39" fillId="0" borderId="1" xfId="0" applyNumberFormat="1" applyFont="1" applyBorder="1" applyAlignment="1">
      <alignment horizontal="center" vertical="center"/>
    </xf>
    <xf numFmtId="3" fontId="55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65" fontId="1" fillId="7" borderId="1" xfId="1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/>
    </xf>
    <xf numFmtId="0" fontId="49" fillId="0" borderId="1" xfId="0" applyFont="1" applyBorder="1" applyAlignment="1">
      <alignment horizontal="center" vertical="center"/>
    </xf>
    <xf numFmtId="165" fontId="1" fillId="28" borderId="1" xfId="1" applyNumberFormat="1" applyFont="1" applyFill="1" applyBorder="1" applyAlignment="1" applyProtection="1">
      <alignment vertical="center"/>
    </xf>
    <xf numFmtId="49" fontId="39" fillId="17" borderId="1" xfId="0" applyNumberFormat="1" applyFont="1" applyFill="1" applyBorder="1">
      <alignment vertical="center"/>
    </xf>
    <xf numFmtId="164" fontId="39" fillId="0" borderId="1" xfId="0" applyNumberFormat="1" applyFont="1" applyBorder="1" applyAlignment="1">
      <alignment horizontal="right" vertical="center"/>
    </xf>
    <xf numFmtId="0" fontId="19" fillId="18" borderId="1" xfId="0" applyFont="1" applyFill="1" applyBorder="1">
      <alignment vertical="center"/>
    </xf>
    <xf numFmtId="0" fontId="0" fillId="0" borderId="1" xfId="0" applyBorder="1">
      <alignment vertical="center"/>
    </xf>
    <xf numFmtId="0" fontId="50" fillId="0" borderId="1" xfId="0" applyFont="1" applyBorder="1" applyAlignment="1">
      <alignment horizontal="center" vertical="center"/>
    </xf>
    <xf numFmtId="0" fontId="1" fillId="20" borderId="16" xfId="0" quotePrefix="1" applyFont="1" applyFill="1" applyBorder="1" applyAlignment="1">
      <alignment horizontal="right" vertical="center"/>
    </xf>
    <xf numFmtId="165" fontId="5" fillId="0" borderId="16" xfId="1" applyNumberFormat="1" applyFont="1" applyBorder="1" applyAlignment="1" applyProtection="1">
      <alignment vertical="center"/>
    </xf>
    <xf numFmtId="3" fontId="5" fillId="28" borderId="1" xfId="0" applyNumberFormat="1" applyFont="1" applyFill="1" applyBorder="1">
      <alignment vertical="center"/>
    </xf>
    <xf numFmtId="164" fontId="27" fillId="28" borderId="1" xfId="0" applyNumberFormat="1" applyFont="1" applyFill="1" applyBorder="1" applyAlignment="1">
      <alignment horizontal="right" vertical="center"/>
    </xf>
    <xf numFmtId="0" fontId="39" fillId="28" borderId="1" xfId="0" applyFont="1" applyFill="1" applyBorder="1" applyAlignment="1">
      <alignment horizontal="center" vertical="center"/>
    </xf>
    <xf numFmtId="3" fontId="5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49" fillId="28" borderId="1" xfId="0" applyFont="1" applyFill="1" applyBorder="1" applyAlignment="1">
      <alignment horizontal="center" vertical="center"/>
    </xf>
    <xf numFmtId="0" fontId="49" fillId="28" borderId="10" xfId="0" applyFont="1" applyFill="1" applyBorder="1" applyAlignment="1">
      <alignment horizontal="center" vertical="center"/>
    </xf>
    <xf numFmtId="0" fontId="16" fillId="28" borderId="1" xfId="0" applyFont="1" applyFill="1" applyBorder="1" applyAlignment="1">
      <alignment horizontal="center" vertical="center"/>
    </xf>
    <xf numFmtId="0" fontId="5" fillId="28" borderId="1" xfId="0" applyFont="1" applyFill="1" applyBorder="1">
      <alignment vertical="center"/>
    </xf>
    <xf numFmtId="167" fontId="1" fillId="28" borderId="1" xfId="1" applyFont="1" applyFill="1" applyBorder="1" applyAlignment="1" applyProtection="1">
      <alignment horizontal="center" vertical="center" wrapText="1"/>
    </xf>
    <xf numFmtId="0" fontId="1" fillId="28" borderId="1" xfId="2" applyFont="1" applyFill="1" applyBorder="1" applyAlignment="1" applyProtection="1">
      <alignment horizontal="center" vertical="center" wrapText="1"/>
    </xf>
    <xf numFmtId="165" fontId="4" fillId="28" borderId="1" xfId="2" applyNumberFormat="1" applyFont="1" applyFill="1" applyBorder="1" applyAlignment="1" applyProtection="1">
      <alignment horizontal="center" vertical="center" wrapText="1"/>
    </xf>
    <xf numFmtId="3" fontId="1" fillId="28" borderId="1" xfId="0" applyNumberFormat="1" applyFont="1" applyFill="1" applyBorder="1">
      <alignment vertical="center"/>
    </xf>
    <xf numFmtId="0" fontId="1" fillId="28" borderId="1" xfId="0" applyFont="1" applyFill="1" applyBorder="1">
      <alignment vertical="center"/>
    </xf>
    <xf numFmtId="165" fontId="2" fillId="28" borderId="1" xfId="1" applyNumberFormat="1" applyFont="1" applyFill="1" applyBorder="1" applyProtection="1"/>
    <xf numFmtId="165" fontId="1" fillId="28" borderId="1" xfId="1" applyNumberFormat="1" applyFont="1" applyFill="1" applyBorder="1" applyAlignment="1" applyProtection="1">
      <alignment horizontal="center" vertical="center" wrapText="1"/>
    </xf>
    <xf numFmtId="165" fontId="1" fillId="28" borderId="1" xfId="1" applyNumberFormat="1" applyFont="1" applyFill="1" applyBorder="1" applyProtection="1"/>
    <xf numFmtId="165" fontId="14" fillId="28" borderId="13" xfId="1" applyNumberFormat="1" applyFill="1" applyBorder="1">
      <protection locked="0"/>
    </xf>
    <xf numFmtId="3" fontId="1" fillId="28" borderId="14" xfId="0" applyNumberFormat="1" applyFont="1" applyFill="1" applyBorder="1">
      <alignment vertical="center"/>
    </xf>
    <xf numFmtId="165" fontId="5" fillId="28" borderId="1" xfId="1" applyNumberFormat="1" applyFont="1" applyFill="1" applyBorder="1" applyAlignment="1" applyProtection="1">
      <alignment vertical="center"/>
    </xf>
    <xf numFmtId="169" fontId="20" fillId="28" borderId="1" xfId="6" applyFont="1" applyFill="1" applyBorder="1" applyAlignment="1" applyProtection="1">
      <alignment vertical="center"/>
    </xf>
    <xf numFmtId="0" fontId="1" fillId="28" borderId="0" xfId="0" applyFont="1" applyFill="1" applyAlignment="1"/>
    <xf numFmtId="0" fontId="0" fillId="28" borderId="0" xfId="0" applyFill="1">
      <alignment vertical="center"/>
    </xf>
    <xf numFmtId="0" fontId="5" fillId="25" borderId="1" xfId="0" applyFont="1" applyFill="1" applyBorder="1" applyAlignment="1">
      <alignment horizontal="center" vertical="center"/>
    </xf>
    <xf numFmtId="3" fontId="5" fillId="25" borderId="1" xfId="0" applyNumberFormat="1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right" vertical="center"/>
    </xf>
    <xf numFmtId="165" fontId="14" fillId="28" borderId="1" xfId="1" applyNumberFormat="1" applyFill="1" applyBorder="1" applyProtection="1"/>
    <xf numFmtId="165" fontId="4" fillId="31" borderId="1" xfId="2" applyNumberFormat="1" applyFont="1" applyFill="1" applyBorder="1" applyAlignment="1" applyProtection="1">
      <alignment horizontal="center" vertical="center" wrapText="1"/>
    </xf>
    <xf numFmtId="0" fontId="5" fillId="32" borderId="1" xfId="0" applyFont="1" applyFill="1" applyBorder="1">
      <alignment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9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horizontal="center" vertical="center"/>
    </xf>
    <xf numFmtId="0" fontId="49" fillId="7" borderId="10" xfId="0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/>
    </xf>
    <xf numFmtId="167" fontId="1" fillId="7" borderId="1" xfId="1" applyFont="1" applyFill="1" applyBorder="1" applyAlignment="1" applyProtection="1">
      <alignment horizontal="center" vertical="center" wrapText="1"/>
    </xf>
    <xf numFmtId="0" fontId="1" fillId="7" borderId="1" xfId="2" applyFont="1" applyFill="1" applyBorder="1" applyAlignment="1" applyProtection="1">
      <alignment horizontal="center" vertical="center" wrapText="1"/>
    </xf>
    <xf numFmtId="165" fontId="4" fillId="7" borderId="1" xfId="2" applyNumberFormat="1" applyFont="1" applyFill="1" applyBorder="1" applyAlignment="1" applyProtection="1">
      <alignment horizontal="center" vertical="center" wrapText="1"/>
    </xf>
    <xf numFmtId="165" fontId="2" fillId="7" borderId="1" xfId="1" applyNumberFormat="1" applyFont="1" applyFill="1" applyBorder="1" applyProtection="1"/>
    <xf numFmtId="165" fontId="4" fillId="33" borderId="1" xfId="2" applyNumberFormat="1" applyFont="1" applyFill="1" applyBorder="1" applyAlignment="1" applyProtection="1">
      <alignment horizontal="center" vertical="center" wrapText="1"/>
    </xf>
    <xf numFmtId="165" fontId="1" fillId="7" borderId="1" xfId="1" applyNumberFormat="1" applyFont="1" applyFill="1" applyBorder="1" applyAlignment="1" applyProtection="1">
      <alignment horizontal="center" vertical="center" wrapText="1"/>
    </xf>
    <xf numFmtId="165" fontId="1" fillId="7" borderId="1" xfId="1" applyNumberFormat="1" applyFont="1" applyFill="1" applyBorder="1" applyProtection="1"/>
    <xf numFmtId="165" fontId="14" fillId="7" borderId="13" xfId="1" applyNumberFormat="1" applyFill="1" applyBorder="1">
      <protection locked="0"/>
    </xf>
    <xf numFmtId="3" fontId="1" fillId="7" borderId="14" xfId="0" applyNumberFormat="1" applyFont="1" applyFill="1" applyBorder="1">
      <alignment vertical="center"/>
    </xf>
    <xf numFmtId="165" fontId="5" fillId="7" borderId="1" xfId="1" applyNumberFormat="1" applyFont="1" applyFill="1" applyBorder="1" applyAlignment="1" applyProtection="1">
      <alignment vertical="center"/>
    </xf>
    <xf numFmtId="0" fontId="1" fillId="7" borderId="1" xfId="0" applyFont="1" applyFill="1" applyBorder="1">
      <alignment vertical="center"/>
    </xf>
    <xf numFmtId="169" fontId="20" fillId="7" borderId="1" xfId="6" applyFont="1" applyFill="1" applyBorder="1" applyAlignment="1" applyProtection="1">
      <alignment vertical="center"/>
    </xf>
    <xf numFmtId="0" fontId="1" fillId="30" borderId="1" xfId="0" applyFont="1" applyFill="1" applyBorder="1" applyAlignment="1">
      <alignment horizontal="right" vertical="center"/>
    </xf>
    <xf numFmtId="0" fontId="50" fillId="0" borderId="13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65" fontId="5" fillId="0" borderId="0" xfId="1" applyNumberFormat="1" applyFont="1" applyAlignment="1" applyProtection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38" fillId="23" borderId="16" xfId="0" applyFont="1" applyFill="1" applyBorder="1" applyAlignment="1">
      <alignment horizontal="left" vertical="center"/>
    </xf>
    <xf numFmtId="0" fontId="52" fillId="0" borderId="16" xfId="0" applyFont="1" applyBorder="1" applyAlignment="1">
      <alignment horizontal="center" vertical="center"/>
    </xf>
    <xf numFmtId="3" fontId="1" fillId="0" borderId="16" xfId="0" applyNumberFormat="1" applyFont="1" applyBorder="1">
      <alignment vertical="center"/>
    </xf>
    <xf numFmtId="15" fontId="38" fillId="0" borderId="16" xfId="0" quotePrefix="1" applyNumberFormat="1" applyFont="1" applyBorder="1" applyAlignment="1">
      <alignment horizontal="right" vertical="center"/>
    </xf>
    <xf numFmtId="0" fontId="40" fillId="0" borderId="13" xfId="0" applyFont="1" applyBorder="1" applyAlignment="1"/>
    <xf numFmtId="0" fontId="58" fillId="0" borderId="10" xfId="0" applyFont="1" applyBorder="1" applyAlignment="1">
      <alignment horizontal="center" vertical="center"/>
    </xf>
    <xf numFmtId="0" fontId="40" fillId="0" borderId="1" xfId="0" applyFont="1" applyBorder="1" applyAlignment="1"/>
    <xf numFmtId="0" fontId="5" fillId="0" borderId="1" xfId="9" applyFont="1" applyBorder="1" applyAlignment="1" applyProtection="1">
      <alignment horizontal="center" vertical="center"/>
    </xf>
    <xf numFmtId="0" fontId="58" fillId="7" borderId="10" xfId="0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/>
    </xf>
    <xf numFmtId="0" fontId="59" fillId="0" borderId="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1" fontId="1" fillId="29" borderId="16" xfId="0" quotePrefix="1" applyNumberFormat="1" applyFont="1" applyFill="1" applyBorder="1" applyAlignment="1">
      <alignment horizontal="right" vertical="center"/>
    </xf>
    <xf numFmtId="1" fontId="1" fillId="29" borderId="1" xfId="0" quotePrefix="1" applyNumberFormat="1" applyFont="1" applyFill="1" applyBorder="1" applyAlignment="1">
      <alignment horizontal="right" vertical="center"/>
    </xf>
    <xf numFmtId="165" fontId="14" fillId="34" borderId="1" xfId="1" applyNumberFormat="1" applyFill="1" applyBorder="1" applyProtection="1"/>
    <xf numFmtId="165" fontId="14" fillId="35" borderId="1" xfId="1" applyNumberFormat="1" applyFill="1" applyBorder="1" applyProtection="1"/>
    <xf numFmtId="165" fontId="14" fillId="35" borderId="7" xfId="1" applyNumberFormat="1" applyFill="1" applyBorder="1" applyProtection="1"/>
    <xf numFmtId="0" fontId="14" fillId="0" borderId="0" xfId="0" applyFont="1" applyAlignment="1">
      <alignment horizontal="center"/>
    </xf>
    <xf numFmtId="165" fontId="14" fillId="18" borderId="0" xfId="1" applyNumberFormat="1" applyFill="1" applyProtection="1"/>
    <xf numFmtId="165" fontId="14" fillId="28" borderId="16" xfId="1" applyNumberFormat="1" applyFill="1" applyBorder="1" applyProtection="1"/>
    <xf numFmtId="165" fontId="14" fillId="22" borderId="16" xfId="1" applyNumberFormat="1" applyFill="1" applyBorder="1" applyAlignment="1" applyProtection="1">
      <alignment horizontal="center"/>
    </xf>
    <xf numFmtId="165" fontId="14" fillId="22" borderId="7" xfId="1" applyNumberFormat="1" applyFill="1" applyBorder="1" applyAlignment="1" applyProtection="1">
      <alignment horizontal="center"/>
    </xf>
    <xf numFmtId="165" fontId="14" fillId="22" borderId="1" xfId="1" applyNumberFormat="1" applyFill="1" applyBorder="1" applyAlignment="1" applyProtection="1">
      <alignment horizontal="center"/>
    </xf>
    <xf numFmtId="0" fontId="5" fillId="36" borderId="1" xfId="0" applyFont="1" applyFill="1" applyBorder="1" applyAlignment="1">
      <alignment horizontal="center" vertical="center"/>
    </xf>
    <xf numFmtId="49" fontId="5" fillId="37" borderId="1" xfId="0" applyNumberFormat="1" applyFont="1" applyFill="1" applyBorder="1">
      <alignment vertical="center"/>
    </xf>
    <xf numFmtId="3" fontId="5" fillId="37" borderId="1" xfId="0" applyNumberFormat="1" applyFont="1" applyFill="1" applyBorder="1" applyAlignment="1">
      <alignment horizontal="center" vertical="center"/>
    </xf>
    <xf numFmtId="0" fontId="50" fillId="7" borderId="13" xfId="0" applyFont="1" applyFill="1" applyBorder="1" applyAlignment="1">
      <alignment horizontal="center" vertical="center"/>
    </xf>
    <xf numFmtId="0" fontId="50" fillId="7" borderId="13" xfId="2" quotePrefix="1" applyFont="1" applyFill="1" applyBorder="1" applyAlignment="1" applyProtection="1">
      <alignment horizontal="center" vertical="center"/>
    </xf>
    <xf numFmtId="0" fontId="37" fillId="7" borderId="13" xfId="0" applyFont="1" applyFill="1" applyBorder="1" applyAlignment="1">
      <alignment horizontal="center" vertical="center"/>
    </xf>
    <xf numFmtId="0" fontId="13" fillId="7" borderId="1" xfId="0" applyFont="1" applyFill="1" applyBorder="1">
      <alignment vertical="center"/>
    </xf>
    <xf numFmtId="0" fontId="42" fillId="28" borderId="1" xfId="0" applyFont="1" applyFill="1" applyBorder="1" applyAlignment="1">
      <alignment horizontal="center" vertical="center"/>
    </xf>
    <xf numFmtId="0" fontId="44" fillId="28" borderId="1" xfId="0" applyFont="1" applyFill="1" applyBorder="1" applyAlignment="1">
      <alignment horizontal="center"/>
    </xf>
    <xf numFmtId="15" fontId="38" fillId="0" borderId="1" xfId="0" quotePrefix="1" applyNumberFormat="1" applyFont="1" applyBorder="1" applyAlignment="1">
      <alignment horizontal="right" vertical="center"/>
    </xf>
    <xf numFmtId="165" fontId="1" fillId="0" borderId="1" xfId="1" applyNumberFormat="1" applyFont="1" applyBorder="1" applyAlignment="1" applyProtection="1">
      <alignment horizontal="center" vertical="center"/>
    </xf>
    <xf numFmtId="171" fontId="50" fillId="18" borderId="1" xfId="1" applyNumberFormat="1" applyFont="1" applyFill="1" applyBorder="1" applyAlignment="1" applyProtection="1">
      <alignment horizontal="center" vertical="center"/>
    </xf>
    <xf numFmtId="171" fontId="38" fillId="18" borderId="1" xfId="1" applyNumberFormat="1" applyFont="1" applyFill="1" applyBorder="1" applyAlignment="1" applyProtection="1">
      <alignment horizontal="center" vertical="center"/>
    </xf>
    <xf numFmtId="0" fontId="50" fillId="18" borderId="1" xfId="0" applyFont="1" applyFill="1" applyBorder="1" applyAlignment="1">
      <alignment horizontal="center" vertical="center"/>
    </xf>
    <xf numFmtId="0" fontId="49" fillId="18" borderId="1" xfId="0" applyFont="1" applyFill="1" applyBorder="1" applyAlignment="1">
      <alignment horizontal="center" vertical="center"/>
    </xf>
    <xf numFmtId="170" fontId="5" fillId="7" borderId="8" xfId="0" quotePrefix="1" applyNumberFormat="1" applyFont="1" applyFill="1" applyBorder="1" applyAlignment="1">
      <alignment horizontal="center" vertical="center"/>
    </xf>
    <xf numFmtId="167" fontId="14" fillId="18" borderId="0" xfId="1" applyFill="1">
      <protection locked="0"/>
    </xf>
    <xf numFmtId="49" fontId="5" fillId="32" borderId="1" xfId="0" applyNumberFormat="1" applyFont="1" applyFill="1" applyBorder="1">
      <alignment vertical="center"/>
    </xf>
    <xf numFmtId="0" fontId="5" fillId="32" borderId="1" xfId="0" applyFont="1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3" fontId="5" fillId="7" borderId="1" xfId="0" applyNumberFormat="1" applyFon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" fillId="7" borderId="0" xfId="0" applyFont="1" applyFill="1" applyAlignment="1"/>
    <xf numFmtId="0" fontId="52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28" fillId="18" borderId="1" xfId="0" applyFont="1" applyFill="1" applyBorder="1" applyAlignment="1">
      <alignment horizontal="center" vertical="center"/>
    </xf>
    <xf numFmtId="0" fontId="30" fillId="0" borderId="1" xfId="0" applyFont="1" applyBorder="1" applyAlignment="1"/>
    <xf numFmtId="0" fontId="4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5" fontId="14" fillId="0" borderId="1" xfId="1" applyNumberFormat="1" applyBorder="1" applyAlignment="1" applyProtection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7" fillId="0" borderId="2" xfId="0" applyFont="1" applyBorder="1" applyAlignment="1">
      <alignment horizontal="center" vertical="center" textRotation="90"/>
    </xf>
    <xf numFmtId="165" fontId="14" fillId="0" borderId="2" xfId="1" applyNumberFormat="1" applyBorder="1" applyAlignment="1" applyProtection="1">
      <alignment horizontal="right"/>
    </xf>
    <xf numFmtId="2" fontId="14" fillId="0" borderId="1" xfId="1" applyNumberFormat="1" applyBorder="1" applyAlignment="1" applyProtection="1">
      <alignment horizontal="center"/>
    </xf>
    <xf numFmtId="165" fontId="14" fillId="0" borderId="0" xfId="1" applyNumberFormat="1" applyAlignment="1" applyProtection="1">
      <alignment horizontal="left"/>
    </xf>
    <xf numFmtId="0" fontId="15" fillId="0" borderId="1" xfId="0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165" fontId="14" fillId="0" borderId="0" xfId="1" applyNumberFormat="1" applyAlignment="1" applyProtection="1">
      <alignment horizontal="left" wrapText="1"/>
    </xf>
    <xf numFmtId="0" fontId="17" fillId="0" borderId="0" xfId="0" applyFont="1" applyAlignment="1">
      <alignment horizontal="center" vertical="center" wrapText="1"/>
    </xf>
    <xf numFmtId="165" fontId="4" fillId="0" borderId="5" xfId="1" applyNumberFormat="1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9" fillId="22" borderId="11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/>
    </xf>
    <xf numFmtId="0" fontId="15" fillId="22" borderId="11" xfId="0" applyFont="1" applyFill="1" applyBorder="1" applyAlignment="1">
      <alignment horizontal="center" vertical="center"/>
    </xf>
    <xf numFmtId="0" fontId="15" fillId="22" borderId="12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165" fontId="14" fillId="22" borderId="1" xfId="1" applyNumberFormat="1" applyFill="1" applyBorder="1" applyAlignment="1" applyProtection="1">
      <alignment vertical="center"/>
    </xf>
    <xf numFmtId="0" fontId="19" fillId="34" borderId="16" xfId="0" applyFont="1" applyFill="1" applyBorder="1" applyAlignment="1">
      <alignment horizontal="center" vertical="center"/>
    </xf>
    <xf numFmtId="0" fontId="19" fillId="35" borderId="18" xfId="0" applyFont="1" applyFill="1" applyBorder="1" applyAlignment="1">
      <alignment horizontal="center" vertical="center"/>
    </xf>
    <xf numFmtId="0" fontId="19" fillId="35" borderId="19" xfId="0" applyFont="1" applyFill="1" applyBorder="1" applyAlignment="1">
      <alignment horizontal="center" vertical="center"/>
    </xf>
    <xf numFmtId="0" fontId="19" fillId="35" borderId="20" xfId="0" applyFont="1" applyFill="1" applyBorder="1" applyAlignment="1">
      <alignment horizontal="center" vertical="center"/>
    </xf>
    <xf numFmtId="0" fontId="19" fillId="22" borderId="21" xfId="0" applyFont="1" applyFill="1" applyBorder="1" applyAlignment="1">
      <alignment horizontal="center" vertical="center"/>
    </xf>
    <xf numFmtId="0" fontId="19" fillId="22" borderId="22" xfId="0" applyFont="1" applyFill="1" applyBorder="1" applyAlignment="1">
      <alignment horizontal="center" vertical="center"/>
    </xf>
    <xf numFmtId="0" fontId="19" fillId="22" borderId="17" xfId="0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 wrapText="1"/>
    </xf>
  </cellXfs>
  <cellStyles count="14">
    <cellStyle name="Comma" xfId="1" builtinId="3"/>
    <cellStyle name="Comma 11" xfId="13" xr:uid="{00000000-0005-0000-0000-000001000000}"/>
    <cellStyle name="Comma 4" xfId="8" xr:uid="{00000000-0005-0000-0000-000002000000}"/>
    <cellStyle name="Comma 5" xfId="11" xr:uid="{00000000-0005-0000-0000-000003000000}"/>
    <cellStyle name="Excel Built-in 20% - Accent5 1" xfId="5" xr:uid="{00000000-0005-0000-0000-000004000000}"/>
    <cellStyle name="Excel Built-in 20% - Accent5 2" xfId="7" xr:uid="{00000000-0005-0000-0000-000005000000}"/>
    <cellStyle name="Excel Built-in Comma [0]" xfId="6" xr:uid="{00000000-0005-0000-0000-000006000000}"/>
    <cellStyle name="Normal" xfId="0" builtinId="0"/>
    <cellStyle name="Normal 10" xfId="10" xr:uid="{00000000-0005-0000-0000-000008000000}"/>
    <cellStyle name="Normal 17" xfId="12" xr:uid="{00000000-0005-0000-0000-000009000000}"/>
    <cellStyle name="Normal 3" xfId="3" xr:uid="{00000000-0005-0000-0000-00000A000000}"/>
    <cellStyle name="Normal 6" xfId="4" xr:uid="{00000000-0005-0000-0000-00000B000000}"/>
    <cellStyle name="Normal 7" xfId="2" xr:uid="{00000000-0005-0000-0000-00000C000000}"/>
    <cellStyle name="Normal 7 3" xfId="9" xr:uid="{00000000-0005-0000-0000-00000D000000}"/>
  </cellStyles>
  <dxfs count="17"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</border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DC2E5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2E5"/>
        </top>
        <bottom style="thin">
          <color rgb="FF9DC2E5"/>
        </bottom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C9BD5"/>
        </top>
        <bottom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9D18E"/>
      <rgbColor rgb="00808080"/>
      <rgbColor rgb="009999FF"/>
      <rgbColor rgb="00993366"/>
      <rgbColor rgb="00FBE5D6"/>
      <rgbColor rgb="00DBEEF4"/>
      <rgbColor rgb="00660066"/>
      <rgbColor rgb="00F4B183"/>
      <rgbColor rgb="000066CC"/>
      <rgbColor rgb="00C5E0B4"/>
      <rgbColor rgb="00000080"/>
      <rgbColor rgb="00FF00FF"/>
      <rgbColor rgb="0099FF66"/>
      <rgbColor rgb="0000FFFF"/>
      <rgbColor rgb="00800080"/>
      <rgbColor rgb="00800000"/>
      <rgbColor rgb="00008080"/>
      <rgbColor rgb="000000FF"/>
      <rgbColor rgb="0000CCFF"/>
      <rgbColor rgb="00DEEBF7"/>
      <rgbColor rgb="00DEEAF6"/>
      <rgbColor rgb="00FFE699"/>
      <rgbColor rgb="009DC3E6"/>
      <rgbColor rgb="00F2AA84"/>
      <rgbColor rgb="00CC99FF"/>
      <rgbColor rgb="00F8CBAD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CAF1"/>
      <color rgb="FFF6A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www.wps.cn/officeDocument/2020/cell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>
            <a:alpha val="90000"/>
          </a:srgbClr>
        </a:solidFill>
        <a:ln w="9360" cap="flat" cmpd="sng">
          <a:noFill/>
          <a:prstDash val="solid"/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2" name="rec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1551742</xdr:colOff>
      <xdr:row>23</xdr:row>
      <xdr:rowOff>113295</xdr:rowOff>
    </xdr:to>
    <xdr:sp macro="" textlink="">
      <xdr:nvSpPr>
        <xdr:cNvPr id="17" name="rect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7607300" cy="7732395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29" name="rect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0" name="rect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1" name="rect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3" name="rect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4" name="rect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5" name="rect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6" name="rect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8" name="rect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39" name="rect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0" name="rect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1" name="rect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2" name="rect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3" name="rect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4" name="rect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5" name="rect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6" name="rect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7" name="rect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8" name="rect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49" name="rect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0" name="rect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1" name="rect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2" name="rect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3" name="rect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4" name="rect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5" name="rect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6" name="rect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7" name="rect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7615555" cy="773303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1561710</xdr:colOff>
      <xdr:row>23</xdr:row>
      <xdr:rowOff>113295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7616190" cy="773366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1750692</xdr:colOff>
      <xdr:row>31</xdr:row>
      <xdr:rowOff>113295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7768590" cy="705485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0"/>
          <a:ext cx="7616190" cy="7388860"/>
        </a:xfrm>
        <a:prstGeom prst="rect">
          <a:avLst/>
        </a:prstGeom>
        <a:solidFill>
          <a:srgbClr val="FFFFFF"/>
        </a:solidFill>
        <a:ln w="936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0" y="0"/>
          <a:ext cx="7616190" cy="738886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0" y="0"/>
          <a:ext cx="7616190" cy="7388860"/>
        </a:xfrm>
        <a:prstGeom prst="rect">
          <a:avLst/>
        </a:prstGeom>
        <a:solidFill>
          <a:srgbClr val="FFFFFF"/>
        </a:solidFill>
        <a:ln w="9360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1600633</xdr:colOff>
      <xdr:row>32</xdr:row>
      <xdr:rowOff>113295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0" y="0"/>
          <a:ext cx="7616825" cy="7389495"/>
        </a:xfrm>
        <a:prstGeom prst="rect">
          <a:avLst/>
        </a:prstGeom>
        <a:solidFill>
          <a:srgbClr val="FFFFFF"/>
        </a:solidFill>
        <a:ln w="936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ackup%20Xiaomi%20Redmi\SDM\SALARY%20YBIMB\TAHUN%202025\12.%20Desember.xlsx" TargetMode="External"/><Relationship Id="rId1" Type="http://schemas.openxmlformats.org/officeDocument/2006/relationships/externalLinkPath" Target="/Backup%20Xiaomi%20Redmi/SDM/SALARY%20YBIMB/TAHUN%202025/12.%20Des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SENSI PER TMT"/>
      <sheetName val="Gapok"/>
      <sheetName val="SLIP GAJI"/>
      <sheetName val="TJ. FUNGSIONAL"/>
      <sheetName val="POTONGAN BPJS JHT"/>
      <sheetName val="PINJAMAN"/>
      <sheetName val="PER UNIT"/>
    </sheetNames>
    <sheetDataSet>
      <sheetData sheetId="0"/>
      <sheetData sheetId="1">
        <row r="5">
          <cell r="B5" t="str">
            <v>IA1</v>
          </cell>
          <cell r="C5">
            <v>800000</v>
          </cell>
          <cell r="D5">
            <v>20000</v>
          </cell>
          <cell r="E5">
            <v>15000</v>
          </cell>
          <cell r="F5">
            <v>375000</v>
          </cell>
          <cell r="G5">
            <v>800000</v>
          </cell>
          <cell r="H5">
            <v>15000</v>
          </cell>
          <cell r="I5">
            <v>375000</v>
          </cell>
        </row>
        <row r="6">
          <cell r="B6" t="str">
            <v>IA2</v>
          </cell>
          <cell r="C6">
            <v>820000</v>
          </cell>
          <cell r="D6">
            <v>20000</v>
          </cell>
          <cell r="E6">
            <v>15000</v>
          </cell>
          <cell r="F6">
            <v>375000</v>
          </cell>
          <cell r="G6">
            <v>825000</v>
          </cell>
          <cell r="H6">
            <v>15000</v>
          </cell>
          <cell r="I6">
            <v>375000</v>
          </cell>
        </row>
        <row r="7">
          <cell r="B7" t="str">
            <v>IA3</v>
          </cell>
          <cell r="C7">
            <v>840000</v>
          </cell>
          <cell r="D7">
            <v>20000</v>
          </cell>
          <cell r="E7">
            <v>15000</v>
          </cell>
          <cell r="F7">
            <v>375000</v>
          </cell>
          <cell r="G7">
            <v>850000</v>
          </cell>
          <cell r="H7">
            <v>15000</v>
          </cell>
          <cell r="I7">
            <v>375000</v>
          </cell>
        </row>
        <row r="8">
          <cell r="B8" t="str">
            <v>IA4</v>
          </cell>
          <cell r="C8">
            <v>860000</v>
          </cell>
          <cell r="D8">
            <v>20000</v>
          </cell>
          <cell r="E8">
            <v>15000</v>
          </cell>
          <cell r="F8">
            <v>375000</v>
          </cell>
          <cell r="G8">
            <v>875000</v>
          </cell>
          <cell r="H8">
            <v>15000</v>
          </cell>
          <cell r="I8">
            <v>375000</v>
          </cell>
        </row>
        <row r="9">
          <cell r="B9" t="str">
            <v>IA5</v>
          </cell>
          <cell r="C9">
            <v>880000</v>
          </cell>
          <cell r="D9">
            <v>20000</v>
          </cell>
          <cell r="E9">
            <v>15000</v>
          </cell>
          <cell r="F9">
            <v>375000</v>
          </cell>
          <cell r="G9">
            <v>900000</v>
          </cell>
          <cell r="H9">
            <v>15000</v>
          </cell>
          <cell r="I9">
            <v>375000</v>
          </cell>
        </row>
        <row r="10">
          <cell r="B10" t="str">
            <v>IA6</v>
          </cell>
          <cell r="C10">
            <v>900000</v>
          </cell>
          <cell r="D10">
            <v>20000</v>
          </cell>
          <cell r="E10">
            <v>15000</v>
          </cell>
          <cell r="F10">
            <v>375000</v>
          </cell>
          <cell r="G10">
            <v>925000</v>
          </cell>
          <cell r="H10">
            <v>15000</v>
          </cell>
          <cell r="I10">
            <v>375000</v>
          </cell>
        </row>
        <row r="11">
          <cell r="B11" t="str">
            <v>IA7</v>
          </cell>
          <cell r="C11">
            <v>920000</v>
          </cell>
          <cell r="D11">
            <v>20000</v>
          </cell>
          <cell r="E11">
            <v>15000</v>
          </cell>
          <cell r="F11">
            <v>375000</v>
          </cell>
          <cell r="G11">
            <v>950000</v>
          </cell>
          <cell r="H11">
            <v>15000</v>
          </cell>
          <cell r="I11">
            <v>375000</v>
          </cell>
        </row>
        <row r="12">
          <cell r="B12" t="str">
            <v>IA8</v>
          </cell>
          <cell r="C12">
            <v>940000</v>
          </cell>
          <cell r="D12">
            <v>20000</v>
          </cell>
          <cell r="E12">
            <v>15000</v>
          </cell>
          <cell r="F12">
            <v>375000</v>
          </cell>
          <cell r="G12">
            <v>975000</v>
          </cell>
          <cell r="H12">
            <v>15000</v>
          </cell>
          <cell r="I12">
            <v>375000</v>
          </cell>
        </row>
        <row r="13">
          <cell r="B13" t="str">
            <v>IA9</v>
          </cell>
          <cell r="C13">
            <v>960000</v>
          </cell>
          <cell r="D13">
            <v>20000</v>
          </cell>
          <cell r="E13">
            <v>15000</v>
          </cell>
          <cell r="F13">
            <v>375000</v>
          </cell>
          <cell r="G13">
            <v>1000000</v>
          </cell>
          <cell r="H13">
            <v>15000</v>
          </cell>
          <cell r="I13">
            <v>375000</v>
          </cell>
        </row>
        <row r="14">
          <cell r="B14" t="str">
            <v>IA10</v>
          </cell>
          <cell r="C14">
            <v>980000</v>
          </cell>
          <cell r="D14">
            <v>20000</v>
          </cell>
          <cell r="E14">
            <v>15000</v>
          </cell>
          <cell r="F14">
            <v>375000</v>
          </cell>
          <cell r="G14">
            <v>1025000</v>
          </cell>
          <cell r="H14">
            <v>15000</v>
          </cell>
          <cell r="I14">
            <v>375000</v>
          </cell>
        </row>
        <row r="15">
          <cell r="B15" t="str">
            <v>IB1</v>
          </cell>
          <cell r="C15">
            <v>930000</v>
          </cell>
          <cell r="D15">
            <v>10000</v>
          </cell>
          <cell r="E15">
            <v>15000</v>
          </cell>
          <cell r="F15">
            <v>375000</v>
          </cell>
          <cell r="G15">
            <v>1075000</v>
          </cell>
          <cell r="H15">
            <v>16000</v>
          </cell>
          <cell r="I15">
            <v>400000</v>
          </cell>
        </row>
        <row r="16">
          <cell r="B16" t="str">
            <v>IB2</v>
          </cell>
          <cell r="C16">
            <v>950000</v>
          </cell>
          <cell r="D16">
            <v>20000</v>
          </cell>
          <cell r="E16">
            <v>15000</v>
          </cell>
          <cell r="F16">
            <v>375000</v>
          </cell>
          <cell r="G16">
            <v>1100000</v>
          </cell>
          <cell r="H16">
            <v>16000</v>
          </cell>
          <cell r="I16">
            <v>400000</v>
          </cell>
        </row>
        <row r="17">
          <cell r="B17" t="str">
            <v>IB3</v>
          </cell>
          <cell r="C17">
            <v>970000</v>
          </cell>
          <cell r="D17">
            <v>20000</v>
          </cell>
          <cell r="E17">
            <v>15000</v>
          </cell>
          <cell r="F17">
            <v>375000</v>
          </cell>
          <cell r="G17">
            <v>1125000</v>
          </cell>
          <cell r="H17">
            <v>16000</v>
          </cell>
          <cell r="I17">
            <v>400000</v>
          </cell>
        </row>
        <row r="18">
          <cell r="B18" t="str">
            <v>IB4</v>
          </cell>
          <cell r="C18">
            <v>990000</v>
          </cell>
          <cell r="D18">
            <v>20000</v>
          </cell>
          <cell r="E18">
            <v>15000</v>
          </cell>
          <cell r="F18">
            <v>375000</v>
          </cell>
          <cell r="G18">
            <v>1150000</v>
          </cell>
          <cell r="H18">
            <v>16000</v>
          </cell>
          <cell r="I18">
            <v>400000</v>
          </cell>
        </row>
        <row r="19">
          <cell r="B19" t="str">
            <v>IB5</v>
          </cell>
          <cell r="C19">
            <v>1010000</v>
          </cell>
          <cell r="D19">
            <v>20000</v>
          </cell>
          <cell r="E19">
            <v>15000</v>
          </cell>
          <cell r="F19">
            <v>375000</v>
          </cell>
          <cell r="G19">
            <v>1175000</v>
          </cell>
          <cell r="H19">
            <v>16000</v>
          </cell>
          <cell r="I19">
            <v>400000</v>
          </cell>
        </row>
        <row r="20">
          <cell r="B20" t="str">
            <v>IB6</v>
          </cell>
          <cell r="C20">
            <v>1030000</v>
          </cell>
          <cell r="D20">
            <v>20000</v>
          </cell>
          <cell r="E20">
            <v>15000</v>
          </cell>
          <cell r="F20">
            <v>375000</v>
          </cell>
          <cell r="G20">
            <v>1200000</v>
          </cell>
          <cell r="H20">
            <v>16000</v>
          </cell>
          <cell r="I20">
            <v>400000</v>
          </cell>
        </row>
        <row r="21">
          <cell r="B21" t="str">
            <v>IB7</v>
          </cell>
          <cell r="C21">
            <v>1050000</v>
          </cell>
          <cell r="D21">
            <v>20000</v>
          </cell>
          <cell r="E21">
            <v>15000</v>
          </cell>
          <cell r="F21">
            <v>375000</v>
          </cell>
          <cell r="G21">
            <v>1225000</v>
          </cell>
          <cell r="H21">
            <v>16000</v>
          </cell>
          <cell r="I21">
            <v>400000</v>
          </cell>
        </row>
        <row r="22">
          <cell r="B22" t="str">
            <v>IB8</v>
          </cell>
          <cell r="C22">
            <v>1070000</v>
          </cell>
          <cell r="D22">
            <v>20000</v>
          </cell>
          <cell r="E22">
            <v>15000</v>
          </cell>
          <cell r="F22">
            <v>375000</v>
          </cell>
          <cell r="G22">
            <v>1250000</v>
          </cell>
          <cell r="H22">
            <v>16000</v>
          </cell>
          <cell r="I22">
            <v>400000</v>
          </cell>
        </row>
        <row r="23">
          <cell r="B23" t="str">
            <v>IB9</v>
          </cell>
          <cell r="C23">
            <v>1090000</v>
          </cell>
          <cell r="D23">
            <v>20000</v>
          </cell>
          <cell r="E23">
            <v>15000</v>
          </cell>
          <cell r="F23">
            <v>375000</v>
          </cell>
          <cell r="G23">
            <v>1275000</v>
          </cell>
          <cell r="H23">
            <v>16000</v>
          </cell>
          <cell r="I23">
            <v>400000</v>
          </cell>
        </row>
        <row r="24">
          <cell r="B24" t="str">
            <v>IB10</v>
          </cell>
          <cell r="C24">
            <v>1110000</v>
          </cell>
          <cell r="D24">
            <v>20000</v>
          </cell>
          <cell r="E24">
            <v>15000</v>
          </cell>
          <cell r="F24">
            <v>375000</v>
          </cell>
          <cell r="G24">
            <v>1300000</v>
          </cell>
          <cell r="H24">
            <v>16000</v>
          </cell>
          <cell r="I24">
            <v>400000</v>
          </cell>
        </row>
        <row r="25">
          <cell r="B25" t="str">
            <v>IC1</v>
          </cell>
          <cell r="C25">
            <v>1020000</v>
          </cell>
          <cell r="D25">
            <v>-30000</v>
          </cell>
          <cell r="E25">
            <v>15000</v>
          </cell>
          <cell r="F25">
            <v>375000</v>
          </cell>
          <cell r="G25">
            <v>1350000</v>
          </cell>
          <cell r="H25">
            <v>17000</v>
          </cell>
          <cell r="I25">
            <v>425000</v>
          </cell>
        </row>
        <row r="26">
          <cell r="B26" t="str">
            <v>IC2</v>
          </cell>
          <cell r="C26">
            <v>1040000</v>
          </cell>
          <cell r="D26">
            <v>20000</v>
          </cell>
          <cell r="E26">
            <v>15000</v>
          </cell>
          <cell r="F26">
            <v>375000</v>
          </cell>
          <cell r="G26">
            <v>1375000</v>
          </cell>
          <cell r="H26">
            <v>17000</v>
          </cell>
          <cell r="I26">
            <v>425000</v>
          </cell>
        </row>
        <row r="27">
          <cell r="B27" t="str">
            <v>IC3</v>
          </cell>
          <cell r="C27">
            <v>1060000</v>
          </cell>
          <cell r="D27">
            <v>20000</v>
          </cell>
          <cell r="E27">
            <v>15000</v>
          </cell>
          <cell r="F27">
            <v>375000</v>
          </cell>
          <cell r="G27">
            <v>1400000</v>
          </cell>
          <cell r="H27">
            <v>17000</v>
          </cell>
          <cell r="I27">
            <v>425000</v>
          </cell>
        </row>
        <row r="28">
          <cell r="B28" t="str">
            <v>IC4</v>
          </cell>
          <cell r="C28">
            <v>1080000</v>
          </cell>
          <cell r="D28">
            <v>20000</v>
          </cell>
          <cell r="E28">
            <v>15000</v>
          </cell>
          <cell r="F28">
            <v>375000</v>
          </cell>
          <cell r="G28">
            <v>1425000</v>
          </cell>
          <cell r="H28">
            <v>17000</v>
          </cell>
          <cell r="I28">
            <v>425000</v>
          </cell>
        </row>
        <row r="29">
          <cell r="B29" t="str">
            <v>IC5</v>
          </cell>
          <cell r="C29">
            <v>1100000</v>
          </cell>
          <cell r="D29">
            <v>20000</v>
          </cell>
          <cell r="E29">
            <v>15000</v>
          </cell>
          <cell r="F29">
            <v>375000</v>
          </cell>
          <cell r="G29">
            <v>1450000</v>
          </cell>
          <cell r="H29">
            <v>17000</v>
          </cell>
          <cell r="I29">
            <v>425000</v>
          </cell>
        </row>
        <row r="30">
          <cell r="B30" t="str">
            <v>IC6</v>
          </cell>
          <cell r="C30">
            <v>1120000</v>
          </cell>
          <cell r="D30">
            <v>20000</v>
          </cell>
          <cell r="E30">
            <v>15000</v>
          </cell>
          <cell r="F30">
            <v>375000</v>
          </cell>
          <cell r="G30">
            <v>1475000</v>
          </cell>
          <cell r="H30">
            <v>17000</v>
          </cell>
          <cell r="I30">
            <v>425000</v>
          </cell>
        </row>
        <row r="31">
          <cell r="B31" t="str">
            <v>IC7</v>
          </cell>
          <cell r="C31">
            <v>1140000</v>
          </cell>
          <cell r="D31">
            <v>20000</v>
          </cell>
          <cell r="E31">
            <v>15000</v>
          </cell>
          <cell r="F31">
            <v>375000</v>
          </cell>
          <cell r="G31">
            <v>1500000</v>
          </cell>
          <cell r="H31">
            <v>17000</v>
          </cell>
          <cell r="I31">
            <v>425000</v>
          </cell>
        </row>
        <row r="32">
          <cell r="B32" t="str">
            <v>IC8</v>
          </cell>
          <cell r="C32">
            <v>1160000</v>
          </cell>
          <cell r="D32">
            <v>20000</v>
          </cell>
          <cell r="E32">
            <v>15000</v>
          </cell>
          <cell r="F32">
            <v>375000</v>
          </cell>
          <cell r="G32">
            <v>1525000</v>
          </cell>
          <cell r="H32">
            <v>17000</v>
          </cell>
          <cell r="I32">
            <v>425000</v>
          </cell>
        </row>
        <row r="33">
          <cell r="B33" t="str">
            <v>IC9</v>
          </cell>
          <cell r="C33">
            <v>1180000</v>
          </cell>
          <cell r="D33">
            <v>20000</v>
          </cell>
          <cell r="E33">
            <v>15000</v>
          </cell>
          <cell r="F33">
            <v>375000</v>
          </cell>
          <cell r="G33">
            <v>1550000</v>
          </cell>
          <cell r="H33">
            <v>17000</v>
          </cell>
          <cell r="I33">
            <v>425000</v>
          </cell>
        </row>
        <row r="34">
          <cell r="B34" t="str">
            <v>IC10</v>
          </cell>
          <cell r="C34">
            <v>1200000</v>
          </cell>
          <cell r="D34">
            <v>20000</v>
          </cell>
          <cell r="E34">
            <v>15000</v>
          </cell>
          <cell r="F34">
            <v>375000</v>
          </cell>
          <cell r="G34">
            <v>1575000</v>
          </cell>
          <cell r="H34">
            <v>17000</v>
          </cell>
          <cell r="I34">
            <v>425000</v>
          </cell>
        </row>
        <row r="35">
          <cell r="B35" t="str">
            <v>IIA1</v>
          </cell>
          <cell r="C35">
            <v>1190000</v>
          </cell>
          <cell r="D35">
            <v>50000</v>
          </cell>
          <cell r="E35">
            <v>17500</v>
          </cell>
          <cell r="F35">
            <v>437500</v>
          </cell>
          <cell r="G35">
            <v>1650000</v>
          </cell>
          <cell r="H35">
            <v>18000</v>
          </cell>
          <cell r="I35">
            <v>450000</v>
          </cell>
        </row>
        <row r="36">
          <cell r="B36" t="str">
            <v>IIA2</v>
          </cell>
          <cell r="C36">
            <v>1215000</v>
          </cell>
          <cell r="D36">
            <v>25000</v>
          </cell>
          <cell r="E36">
            <v>17500</v>
          </cell>
          <cell r="F36">
            <v>437500</v>
          </cell>
          <cell r="G36">
            <v>1675000</v>
          </cell>
          <cell r="H36">
            <v>18000</v>
          </cell>
          <cell r="I36">
            <v>450000</v>
          </cell>
        </row>
        <row r="37">
          <cell r="B37" t="str">
            <v>IIA3</v>
          </cell>
          <cell r="C37">
            <v>1240000</v>
          </cell>
          <cell r="D37">
            <v>25000</v>
          </cell>
          <cell r="E37">
            <v>17500</v>
          </cell>
          <cell r="F37">
            <v>437500</v>
          </cell>
          <cell r="G37">
            <v>1700000</v>
          </cell>
          <cell r="H37">
            <v>18000</v>
          </cell>
          <cell r="I37">
            <v>450000</v>
          </cell>
        </row>
        <row r="38">
          <cell r="B38" t="str">
            <v>IIA4</v>
          </cell>
          <cell r="C38">
            <v>1265000</v>
          </cell>
          <cell r="D38">
            <v>25000</v>
          </cell>
          <cell r="E38">
            <v>17500</v>
          </cell>
          <cell r="F38">
            <v>437500</v>
          </cell>
          <cell r="G38">
            <v>1725000</v>
          </cell>
          <cell r="H38">
            <v>18000</v>
          </cell>
          <cell r="I38">
            <v>450000</v>
          </cell>
        </row>
        <row r="39">
          <cell r="B39" t="str">
            <v>IIA5</v>
          </cell>
          <cell r="C39">
            <v>1290000</v>
          </cell>
          <cell r="D39">
            <v>25000</v>
          </cell>
          <cell r="E39">
            <v>17500</v>
          </cell>
          <cell r="F39">
            <v>437500</v>
          </cell>
          <cell r="G39">
            <v>1750000</v>
          </cell>
          <cell r="H39">
            <v>18000</v>
          </cell>
          <cell r="I39">
            <v>450000</v>
          </cell>
        </row>
        <row r="40">
          <cell r="B40" t="str">
            <v>IIA6</v>
          </cell>
          <cell r="C40">
            <v>1315000</v>
          </cell>
          <cell r="D40">
            <v>25000</v>
          </cell>
          <cell r="E40">
            <v>17500</v>
          </cell>
          <cell r="F40">
            <v>437500</v>
          </cell>
          <cell r="G40">
            <v>1775000</v>
          </cell>
          <cell r="H40">
            <v>18000</v>
          </cell>
          <cell r="I40">
            <v>450000</v>
          </cell>
        </row>
        <row r="41">
          <cell r="B41" t="str">
            <v>IIA7</v>
          </cell>
          <cell r="C41">
            <v>1340000</v>
          </cell>
          <cell r="D41">
            <v>25000</v>
          </cell>
          <cell r="E41">
            <v>17500</v>
          </cell>
          <cell r="F41">
            <v>437500</v>
          </cell>
          <cell r="G41">
            <v>1800000</v>
          </cell>
          <cell r="H41">
            <v>18000</v>
          </cell>
          <cell r="I41">
            <v>450000</v>
          </cell>
        </row>
        <row r="42">
          <cell r="B42" t="str">
            <v>IIA8</v>
          </cell>
          <cell r="C42">
            <v>1365000</v>
          </cell>
          <cell r="D42">
            <v>25000</v>
          </cell>
          <cell r="E42">
            <v>17500</v>
          </cell>
          <cell r="F42">
            <v>437500</v>
          </cell>
          <cell r="G42">
            <v>1825000</v>
          </cell>
          <cell r="H42">
            <v>18000</v>
          </cell>
          <cell r="I42">
            <v>450000</v>
          </cell>
        </row>
        <row r="43">
          <cell r="B43" t="str">
            <v>IIA9</v>
          </cell>
          <cell r="C43">
            <v>1390000</v>
          </cell>
          <cell r="D43">
            <v>25000</v>
          </cell>
          <cell r="E43">
            <v>17500</v>
          </cell>
          <cell r="F43">
            <v>437500</v>
          </cell>
          <cell r="G43">
            <v>1850000</v>
          </cell>
          <cell r="H43">
            <v>18000</v>
          </cell>
          <cell r="I43">
            <v>450000</v>
          </cell>
        </row>
        <row r="44">
          <cell r="B44" t="str">
            <v>IIA10</v>
          </cell>
          <cell r="C44">
            <v>1415000</v>
          </cell>
          <cell r="D44">
            <v>25000</v>
          </cell>
          <cell r="E44">
            <v>17500</v>
          </cell>
          <cell r="F44">
            <v>437500</v>
          </cell>
          <cell r="G44">
            <v>1875000</v>
          </cell>
          <cell r="H44">
            <v>18000</v>
          </cell>
          <cell r="I44">
            <v>450000</v>
          </cell>
        </row>
        <row r="45">
          <cell r="B45" t="str">
            <v>IIB1</v>
          </cell>
          <cell r="C45">
            <v>1380000</v>
          </cell>
          <cell r="D45">
            <v>40000</v>
          </cell>
          <cell r="E45">
            <v>17500</v>
          </cell>
          <cell r="F45">
            <v>437500</v>
          </cell>
          <cell r="G45">
            <v>1925000</v>
          </cell>
          <cell r="H45">
            <v>19000</v>
          </cell>
          <cell r="I45">
            <v>475000</v>
          </cell>
        </row>
        <row r="46">
          <cell r="B46" t="str">
            <v>IIB2</v>
          </cell>
          <cell r="C46">
            <v>1405000</v>
          </cell>
          <cell r="D46">
            <v>25000</v>
          </cell>
          <cell r="E46">
            <v>17500</v>
          </cell>
          <cell r="F46">
            <v>437500</v>
          </cell>
          <cell r="G46">
            <v>1950000</v>
          </cell>
          <cell r="H46">
            <v>19000</v>
          </cell>
          <cell r="I46">
            <v>475000</v>
          </cell>
        </row>
        <row r="47">
          <cell r="B47" t="str">
            <v>IIB3</v>
          </cell>
          <cell r="C47">
            <v>1430000</v>
          </cell>
          <cell r="D47">
            <v>25000</v>
          </cell>
          <cell r="E47">
            <v>17500</v>
          </cell>
          <cell r="F47">
            <v>437500</v>
          </cell>
          <cell r="G47">
            <v>1975000</v>
          </cell>
          <cell r="H47">
            <v>19000</v>
          </cell>
          <cell r="I47">
            <v>475000</v>
          </cell>
        </row>
        <row r="48">
          <cell r="B48" t="str">
            <v>IIB4</v>
          </cell>
          <cell r="C48">
            <v>1455000</v>
          </cell>
          <cell r="D48">
            <v>25000</v>
          </cell>
          <cell r="E48">
            <v>17500</v>
          </cell>
          <cell r="F48">
            <v>437500</v>
          </cell>
          <cell r="G48">
            <v>2000000</v>
          </cell>
          <cell r="H48">
            <v>19000</v>
          </cell>
          <cell r="I48">
            <v>475000</v>
          </cell>
        </row>
        <row r="49">
          <cell r="B49" t="str">
            <v>IIB5</v>
          </cell>
          <cell r="C49">
            <v>1480000</v>
          </cell>
          <cell r="D49">
            <v>25000</v>
          </cell>
          <cell r="E49">
            <v>17500</v>
          </cell>
          <cell r="F49">
            <v>437500</v>
          </cell>
          <cell r="G49">
            <v>2025000</v>
          </cell>
          <cell r="H49">
            <v>19000</v>
          </cell>
          <cell r="I49">
            <v>475000</v>
          </cell>
        </row>
        <row r="50">
          <cell r="B50" t="str">
            <v>IIB6</v>
          </cell>
          <cell r="C50">
            <v>1505000</v>
          </cell>
          <cell r="D50">
            <v>25000</v>
          </cell>
          <cell r="E50">
            <v>17500</v>
          </cell>
          <cell r="F50">
            <v>437500</v>
          </cell>
          <cell r="G50">
            <v>2050000</v>
          </cell>
          <cell r="H50">
            <v>19000</v>
          </cell>
          <cell r="I50">
            <v>475000</v>
          </cell>
        </row>
        <row r="51">
          <cell r="B51" t="str">
            <v>IIB7</v>
          </cell>
          <cell r="C51">
            <v>1530000</v>
          </cell>
          <cell r="D51">
            <v>25000</v>
          </cell>
          <cell r="E51">
            <v>17500</v>
          </cell>
          <cell r="F51">
            <v>437500</v>
          </cell>
          <cell r="G51">
            <v>2075000</v>
          </cell>
          <cell r="H51">
            <v>19000</v>
          </cell>
          <cell r="I51">
            <v>475000</v>
          </cell>
        </row>
        <row r="52">
          <cell r="B52" t="str">
            <v>IIB8</v>
          </cell>
          <cell r="C52">
            <v>1555000</v>
          </cell>
          <cell r="D52">
            <v>25000</v>
          </cell>
          <cell r="E52">
            <v>17500</v>
          </cell>
          <cell r="F52">
            <v>437500</v>
          </cell>
          <cell r="G52">
            <v>2100000</v>
          </cell>
          <cell r="H52">
            <v>19000</v>
          </cell>
          <cell r="I52">
            <v>475000</v>
          </cell>
        </row>
        <row r="53">
          <cell r="B53" t="str">
            <v>IIB9</v>
          </cell>
          <cell r="C53">
            <v>1580000</v>
          </cell>
          <cell r="D53">
            <v>25000</v>
          </cell>
          <cell r="E53">
            <v>17500</v>
          </cell>
          <cell r="F53">
            <v>437500</v>
          </cell>
          <cell r="G53">
            <v>2125000</v>
          </cell>
          <cell r="H53">
            <v>19000</v>
          </cell>
          <cell r="I53">
            <v>475000</v>
          </cell>
        </row>
        <row r="54">
          <cell r="B54" t="str">
            <v>IIB10</v>
          </cell>
          <cell r="C54">
            <v>1605000</v>
          </cell>
          <cell r="D54">
            <v>25000</v>
          </cell>
          <cell r="E54">
            <v>17500</v>
          </cell>
          <cell r="F54">
            <v>437500</v>
          </cell>
          <cell r="G54">
            <v>2150000</v>
          </cell>
          <cell r="H54">
            <v>19000</v>
          </cell>
          <cell r="I54">
            <v>475000</v>
          </cell>
        </row>
        <row r="55">
          <cell r="B55" t="str">
            <v>IIC1</v>
          </cell>
          <cell r="C55">
            <v>1570000</v>
          </cell>
          <cell r="D55">
            <v>40000</v>
          </cell>
          <cell r="E55">
            <v>17500</v>
          </cell>
          <cell r="F55">
            <v>437500</v>
          </cell>
          <cell r="G55">
            <v>2200000</v>
          </cell>
          <cell r="H55">
            <v>20000</v>
          </cell>
          <cell r="I55">
            <v>500000</v>
          </cell>
        </row>
        <row r="56">
          <cell r="B56" t="str">
            <v>IIC2</v>
          </cell>
          <cell r="C56">
            <v>1595000</v>
          </cell>
          <cell r="D56">
            <v>25000</v>
          </cell>
          <cell r="E56">
            <v>17500</v>
          </cell>
          <cell r="F56">
            <v>437500</v>
          </cell>
          <cell r="G56">
            <v>2225000</v>
          </cell>
          <cell r="H56">
            <v>20000</v>
          </cell>
          <cell r="I56">
            <v>500000</v>
          </cell>
        </row>
        <row r="57">
          <cell r="B57" t="str">
            <v>IIC3</v>
          </cell>
          <cell r="C57">
            <v>1620000</v>
          </cell>
          <cell r="D57">
            <v>25000</v>
          </cell>
          <cell r="E57">
            <v>17500</v>
          </cell>
          <cell r="F57">
            <v>437500</v>
          </cell>
          <cell r="G57">
            <v>2250000</v>
          </cell>
          <cell r="H57">
            <v>20000</v>
          </cell>
          <cell r="I57">
            <v>500000</v>
          </cell>
        </row>
        <row r="58">
          <cell r="B58" t="str">
            <v>IIC4</v>
          </cell>
          <cell r="C58">
            <v>1645000</v>
          </cell>
          <cell r="D58">
            <v>25000</v>
          </cell>
          <cell r="E58">
            <v>17500</v>
          </cell>
          <cell r="F58">
            <v>437500</v>
          </cell>
          <cell r="G58">
            <v>2275000</v>
          </cell>
          <cell r="H58">
            <v>20000</v>
          </cell>
          <cell r="I58">
            <v>500000</v>
          </cell>
        </row>
        <row r="59">
          <cell r="B59" t="str">
            <v>IIC5</v>
          </cell>
          <cell r="C59">
            <v>1670000</v>
          </cell>
          <cell r="D59">
            <v>25000</v>
          </cell>
          <cell r="E59">
            <v>17500</v>
          </cell>
          <cell r="F59">
            <v>437500</v>
          </cell>
          <cell r="G59">
            <v>2300000</v>
          </cell>
          <cell r="H59">
            <v>20000</v>
          </cell>
          <cell r="I59">
            <v>500000</v>
          </cell>
        </row>
        <row r="60">
          <cell r="B60" t="str">
            <v>IIC6</v>
          </cell>
          <cell r="C60">
            <v>1695000</v>
          </cell>
          <cell r="D60">
            <v>25000</v>
          </cell>
          <cell r="E60">
            <v>17500</v>
          </cell>
          <cell r="F60">
            <v>437500</v>
          </cell>
          <cell r="G60">
            <v>2325000</v>
          </cell>
          <cell r="H60">
            <v>20000</v>
          </cell>
          <cell r="I60">
            <v>500000</v>
          </cell>
        </row>
        <row r="61">
          <cell r="B61" t="str">
            <v>IIC7</v>
          </cell>
          <cell r="C61">
            <v>1720000</v>
          </cell>
          <cell r="D61">
            <v>25000</v>
          </cell>
          <cell r="E61">
            <v>17500</v>
          </cell>
          <cell r="F61">
            <v>437500</v>
          </cell>
          <cell r="G61">
            <v>2350000</v>
          </cell>
          <cell r="H61">
            <v>20000</v>
          </cell>
          <cell r="I61">
            <v>500000</v>
          </cell>
        </row>
        <row r="62">
          <cell r="B62" t="str">
            <v>IIC8</v>
          </cell>
          <cell r="C62">
            <v>1745000</v>
          </cell>
          <cell r="D62">
            <v>25000</v>
          </cell>
          <cell r="E62">
            <v>17500</v>
          </cell>
          <cell r="F62">
            <v>437500</v>
          </cell>
          <cell r="G62">
            <v>2375000</v>
          </cell>
          <cell r="H62">
            <v>20000</v>
          </cell>
          <cell r="I62">
            <v>500000</v>
          </cell>
        </row>
        <row r="63">
          <cell r="B63" t="str">
            <v>IIC9</v>
          </cell>
          <cell r="C63">
            <v>1770000</v>
          </cell>
          <cell r="D63">
            <v>25000</v>
          </cell>
          <cell r="E63">
            <v>17500</v>
          </cell>
          <cell r="F63">
            <v>437500</v>
          </cell>
          <cell r="G63">
            <v>2400000</v>
          </cell>
          <cell r="H63">
            <v>20000</v>
          </cell>
          <cell r="I63">
            <v>500000</v>
          </cell>
        </row>
        <row r="64">
          <cell r="B64" t="str">
            <v>IIC10</v>
          </cell>
          <cell r="C64">
            <v>1795000</v>
          </cell>
          <cell r="D64">
            <v>25000</v>
          </cell>
          <cell r="E64">
            <v>17500</v>
          </cell>
          <cell r="F64">
            <v>437500</v>
          </cell>
          <cell r="G64">
            <v>2425000</v>
          </cell>
          <cell r="H64">
            <v>20000</v>
          </cell>
          <cell r="I64">
            <v>500000</v>
          </cell>
        </row>
        <row r="65">
          <cell r="B65" t="str">
            <v>IIIA1</v>
          </cell>
          <cell r="C65">
            <v>1780000</v>
          </cell>
          <cell r="D65">
            <v>60000</v>
          </cell>
          <cell r="E65">
            <v>20000</v>
          </cell>
          <cell r="F65">
            <v>500000</v>
          </cell>
          <cell r="G65">
            <v>2500000</v>
          </cell>
          <cell r="H65">
            <v>21000</v>
          </cell>
          <cell r="I65">
            <v>525000</v>
          </cell>
        </row>
        <row r="66">
          <cell r="B66" t="str">
            <v>IIIA2</v>
          </cell>
          <cell r="C66">
            <v>1810000</v>
          </cell>
          <cell r="D66">
            <v>30000</v>
          </cell>
          <cell r="E66">
            <v>20000</v>
          </cell>
          <cell r="F66">
            <v>500000</v>
          </cell>
          <cell r="G66">
            <v>2525000</v>
          </cell>
          <cell r="H66">
            <v>21000</v>
          </cell>
          <cell r="I66">
            <v>525000</v>
          </cell>
        </row>
        <row r="67">
          <cell r="B67" t="str">
            <v>IIIA3</v>
          </cell>
          <cell r="C67">
            <v>1840000</v>
          </cell>
          <cell r="D67">
            <v>30000</v>
          </cell>
          <cell r="E67">
            <v>20000</v>
          </cell>
          <cell r="F67">
            <v>500000</v>
          </cell>
          <cell r="G67">
            <v>2550000</v>
          </cell>
          <cell r="H67">
            <v>21000</v>
          </cell>
          <cell r="I67">
            <v>525000</v>
          </cell>
        </row>
        <row r="68">
          <cell r="B68" t="str">
            <v>IIIA4</v>
          </cell>
          <cell r="C68">
            <v>1870000</v>
          </cell>
          <cell r="D68">
            <v>30000</v>
          </cell>
          <cell r="E68">
            <v>20000</v>
          </cell>
          <cell r="F68">
            <v>500000</v>
          </cell>
          <cell r="G68">
            <v>2575000</v>
          </cell>
          <cell r="H68">
            <v>21000</v>
          </cell>
          <cell r="I68">
            <v>525000</v>
          </cell>
        </row>
        <row r="69">
          <cell r="B69" t="str">
            <v>IIIA5</v>
          </cell>
          <cell r="C69">
            <v>1900000</v>
          </cell>
          <cell r="D69">
            <v>30000</v>
          </cell>
          <cell r="E69">
            <v>20000</v>
          </cell>
          <cell r="F69">
            <v>500000</v>
          </cell>
          <cell r="G69">
            <v>2600000</v>
          </cell>
          <cell r="H69">
            <v>21000</v>
          </cell>
          <cell r="I69">
            <v>525000</v>
          </cell>
        </row>
        <row r="70">
          <cell r="B70" t="str">
            <v>IIIA6</v>
          </cell>
          <cell r="C70">
            <v>1930000</v>
          </cell>
          <cell r="D70">
            <v>30000</v>
          </cell>
          <cell r="E70">
            <v>20000</v>
          </cell>
          <cell r="F70">
            <v>500000</v>
          </cell>
          <cell r="G70">
            <v>2625000</v>
          </cell>
          <cell r="H70">
            <v>21000</v>
          </cell>
          <cell r="I70">
            <v>525000</v>
          </cell>
        </row>
        <row r="71">
          <cell r="B71" t="str">
            <v>IIIA7</v>
          </cell>
          <cell r="C71">
            <v>1960000</v>
          </cell>
          <cell r="D71">
            <v>30000</v>
          </cell>
          <cell r="E71">
            <v>20000</v>
          </cell>
          <cell r="F71">
            <v>500000</v>
          </cell>
          <cell r="G71">
            <v>2650000</v>
          </cell>
          <cell r="H71">
            <v>21000</v>
          </cell>
          <cell r="I71">
            <v>525000</v>
          </cell>
        </row>
        <row r="72">
          <cell r="B72" t="str">
            <v>IIIA8</v>
          </cell>
          <cell r="C72">
            <v>1990000</v>
          </cell>
          <cell r="D72">
            <v>30000</v>
          </cell>
          <cell r="E72">
            <v>20000</v>
          </cell>
          <cell r="F72">
            <v>500000</v>
          </cell>
          <cell r="G72">
            <v>2675000</v>
          </cell>
          <cell r="H72">
            <v>21000</v>
          </cell>
          <cell r="I72">
            <v>525000</v>
          </cell>
        </row>
        <row r="73">
          <cell r="B73" t="str">
            <v>IIIA9</v>
          </cell>
          <cell r="C73">
            <v>2020000</v>
          </cell>
          <cell r="D73">
            <v>30000</v>
          </cell>
          <cell r="E73">
            <v>20000</v>
          </cell>
          <cell r="F73">
            <v>500000</v>
          </cell>
          <cell r="G73">
            <v>2700000</v>
          </cell>
          <cell r="H73">
            <v>21000</v>
          </cell>
          <cell r="I73">
            <v>525000</v>
          </cell>
        </row>
        <row r="74">
          <cell r="B74" t="str">
            <v>IIIA10</v>
          </cell>
          <cell r="C74">
            <v>2050000</v>
          </cell>
          <cell r="D74">
            <v>30000</v>
          </cell>
          <cell r="E74">
            <v>20000</v>
          </cell>
          <cell r="F74">
            <v>500000</v>
          </cell>
          <cell r="G74">
            <v>2725000</v>
          </cell>
          <cell r="H74">
            <v>21000</v>
          </cell>
          <cell r="I74">
            <v>525000</v>
          </cell>
        </row>
        <row r="75">
          <cell r="B75" t="str">
            <v>IIIB1</v>
          </cell>
          <cell r="C75">
            <v>2010000</v>
          </cell>
          <cell r="D75">
            <v>50000</v>
          </cell>
          <cell r="E75">
            <v>20000</v>
          </cell>
          <cell r="F75">
            <v>500000</v>
          </cell>
          <cell r="G75">
            <v>2775000</v>
          </cell>
          <cell r="H75">
            <v>22000</v>
          </cell>
          <cell r="I75">
            <v>550000</v>
          </cell>
        </row>
        <row r="76">
          <cell r="B76" t="str">
            <v>IIIB2</v>
          </cell>
          <cell r="C76">
            <v>2040000</v>
          </cell>
          <cell r="D76">
            <v>30000</v>
          </cell>
          <cell r="E76">
            <v>20000</v>
          </cell>
          <cell r="F76">
            <v>500000</v>
          </cell>
          <cell r="G76">
            <v>2800000</v>
          </cell>
          <cell r="H76">
            <v>22000</v>
          </cell>
          <cell r="I76">
            <v>550000</v>
          </cell>
        </row>
        <row r="77">
          <cell r="B77" t="str">
            <v>IIIB3</v>
          </cell>
          <cell r="C77">
            <v>2070000</v>
          </cell>
          <cell r="D77">
            <v>30000</v>
          </cell>
          <cell r="E77">
            <v>20000</v>
          </cell>
          <cell r="F77">
            <v>500000</v>
          </cell>
          <cell r="G77">
            <v>2825000</v>
          </cell>
          <cell r="H77">
            <v>22000</v>
          </cell>
          <cell r="I77">
            <v>550000</v>
          </cell>
        </row>
        <row r="78">
          <cell r="B78" t="str">
            <v>IIIB4</v>
          </cell>
          <cell r="C78">
            <v>2100000</v>
          </cell>
          <cell r="D78">
            <v>30000</v>
          </cell>
          <cell r="E78">
            <v>20000</v>
          </cell>
          <cell r="F78">
            <v>500000</v>
          </cell>
          <cell r="G78">
            <v>2850000</v>
          </cell>
          <cell r="H78">
            <v>22000</v>
          </cell>
          <cell r="I78">
            <v>550000</v>
          </cell>
        </row>
        <row r="79">
          <cell r="B79" t="str">
            <v>IIIB5</v>
          </cell>
          <cell r="C79">
            <v>2130000</v>
          </cell>
          <cell r="D79">
            <v>30000</v>
          </cell>
          <cell r="E79">
            <v>20000</v>
          </cell>
          <cell r="F79">
            <v>500000</v>
          </cell>
          <cell r="G79">
            <v>2875000</v>
          </cell>
          <cell r="H79">
            <v>22000</v>
          </cell>
          <cell r="I79">
            <v>550000</v>
          </cell>
        </row>
        <row r="80">
          <cell r="B80" t="str">
            <v>IIIB6</v>
          </cell>
          <cell r="C80">
            <v>2160000</v>
          </cell>
          <cell r="D80">
            <v>30000</v>
          </cell>
          <cell r="E80">
            <v>20000</v>
          </cell>
          <cell r="F80">
            <v>500000</v>
          </cell>
          <cell r="G80">
            <v>2900000</v>
          </cell>
          <cell r="H80">
            <v>22000</v>
          </cell>
          <cell r="I80">
            <v>550000</v>
          </cell>
        </row>
        <row r="81">
          <cell r="B81" t="str">
            <v>IIIB7</v>
          </cell>
          <cell r="C81">
            <v>2190000</v>
          </cell>
          <cell r="D81">
            <v>30000</v>
          </cell>
          <cell r="E81">
            <v>20000</v>
          </cell>
          <cell r="F81">
            <v>500000</v>
          </cell>
          <cell r="G81">
            <v>2925000</v>
          </cell>
          <cell r="H81">
            <v>22000</v>
          </cell>
          <cell r="I81">
            <v>550000</v>
          </cell>
        </row>
        <row r="82">
          <cell r="B82" t="str">
            <v>IIIB8</v>
          </cell>
          <cell r="C82">
            <v>2220000</v>
          </cell>
          <cell r="D82">
            <v>30000</v>
          </cell>
          <cell r="E82">
            <v>20000</v>
          </cell>
          <cell r="F82">
            <v>500000</v>
          </cell>
          <cell r="G82">
            <v>2950000</v>
          </cell>
          <cell r="H82">
            <v>22000</v>
          </cell>
          <cell r="I82">
            <v>550000</v>
          </cell>
        </row>
        <row r="83">
          <cell r="B83" t="str">
            <v>IIIB9</v>
          </cell>
          <cell r="C83">
            <v>2250000</v>
          </cell>
          <cell r="D83">
            <v>30000</v>
          </cell>
          <cell r="E83">
            <v>20000</v>
          </cell>
          <cell r="F83">
            <v>500000</v>
          </cell>
          <cell r="G83">
            <v>2975000</v>
          </cell>
          <cell r="H83">
            <v>22000</v>
          </cell>
          <cell r="I83">
            <v>550000</v>
          </cell>
        </row>
        <row r="84">
          <cell r="B84" t="str">
            <v>IIIB10</v>
          </cell>
          <cell r="C84">
            <v>2280000</v>
          </cell>
          <cell r="D84">
            <v>30000</v>
          </cell>
          <cell r="E84">
            <v>20000</v>
          </cell>
          <cell r="F84">
            <v>500000</v>
          </cell>
          <cell r="G84">
            <v>3000000</v>
          </cell>
          <cell r="H84">
            <v>22000</v>
          </cell>
          <cell r="I84">
            <v>550000</v>
          </cell>
        </row>
        <row r="85">
          <cell r="B85" t="str">
            <v>IIIC1</v>
          </cell>
          <cell r="C85">
            <v>2240000</v>
          </cell>
          <cell r="D85">
            <v>50000</v>
          </cell>
          <cell r="E85">
            <v>20000</v>
          </cell>
          <cell r="F85">
            <v>500000</v>
          </cell>
          <cell r="G85">
            <v>3050000</v>
          </cell>
          <cell r="H85">
            <v>23000</v>
          </cell>
          <cell r="I85">
            <v>575000</v>
          </cell>
        </row>
        <row r="86">
          <cell r="B86" t="str">
            <v>IIIC2</v>
          </cell>
          <cell r="C86">
            <v>2270000</v>
          </cell>
          <cell r="D86">
            <v>30000</v>
          </cell>
          <cell r="E86">
            <v>20000</v>
          </cell>
          <cell r="F86">
            <v>500000</v>
          </cell>
          <cell r="G86">
            <v>3075000</v>
          </cell>
          <cell r="H86">
            <v>23000</v>
          </cell>
          <cell r="I86">
            <v>575000</v>
          </cell>
        </row>
        <row r="87">
          <cell r="B87" t="str">
            <v>IIIC3</v>
          </cell>
          <cell r="C87">
            <v>2300000</v>
          </cell>
          <cell r="D87">
            <v>30000</v>
          </cell>
          <cell r="E87">
            <v>20000</v>
          </cell>
          <cell r="F87">
            <v>500000</v>
          </cell>
          <cell r="G87">
            <v>3100000</v>
          </cell>
          <cell r="H87">
            <v>23000</v>
          </cell>
          <cell r="I87">
            <v>575000</v>
          </cell>
        </row>
        <row r="88">
          <cell r="B88" t="str">
            <v>IIIC4</v>
          </cell>
          <cell r="C88">
            <v>2330000</v>
          </cell>
          <cell r="D88">
            <v>30000</v>
          </cell>
          <cell r="E88">
            <v>20000</v>
          </cell>
          <cell r="F88">
            <v>500000</v>
          </cell>
          <cell r="G88">
            <v>3125000</v>
          </cell>
          <cell r="H88">
            <v>23000</v>
          </cell>
          <cell r="I88">
            <v>575000</v>
          </cell>
        </row>
        <row r="89">
          <cell r="B89" t="str">
            <v>IIIC5</v>
          </cell>
          <cell r="C89">
            <v>2360000</v>
          </cell>
          <cell r="D89">
            <v>30000</v>
          </cell>
          <cell r="E89">
            <v>20000</v>
          </cell>
          <cell r="F89">
            <v>500000</v>
          </cell>
          <cell r="G89">
            <v>3150000</v>
          </cell>
          <cell r="H89">
            <v>23000</v>
          </cell>
          <cell r="I89">
            <v>575000</v>
          </cell>
        </row>
        <row r="90">
          <cell r="B90" t="str">
            <v>IIIC6</v>
          </cell>
          <cell r="C90">
            <v>2390000</v>
          </cell>
          <cell r="D90">
            <v>30000</v>
          </cell>
          <cell r="E90">
            <v>20000</v>
          </cell>
          <cell r="F90">
            <v>500000</v>
          </cell>
          <cell r="G90">
            <v>3175000</v>
          </cell>
          <cell r="H90">
            <v>23000</v>
          </cell>
          <cell r="I90">
            <v>575000</v>
          </cell>
        </row>
        <row r="91">
          <cell r="B91" t="str">
            <v>IIIC7</v>
          </cell>
          <cell r="C91">
            <v>2420000</v>
          </cell>
          <cell r="D91">
            <v>30000</v>
          </cell>
          <cell r="E91">
            <v>20000</v>
          </cell>
          <cell r="F91">
            <v>500000</v>
          </cell>
          <cell r="G91">
            <v>3200000</v>
          </cell>
          <cell r="H91">
            <v>23000</v>
          </cell>
          <cell r="I91">
            <v>575000</v>
          </cell>
        </row>
        <row r="92">
          <cell r="B92" t="str">
            <v>IIIC8</v>
          </cell>
          <cell r="C92">
            <v>2450000</v>
          </cell>
          <cell r="D92">
            <v>30000</v>
          </cell>
          <cell r="E92">
            <v>20000</v>
          </cell>
          <cell r="F92">
            <v>500000</v>
          </cell>
          <cell r="G92">
            <v>3225000</v>
          </cell>
          <cell r="H92">
            <v>23000</v>
          </cell>
          <cell r="I92">
            <v>575000</v>
          </cell>
        </row>
        <row r="93">
          <cell r="B93" t="str">
            <v>IIIC9</v>
          </cell>
          <cell r="C93">
            <v>2480000</v>
          </cell>
          <cell r="D93">
            <v>30000</v>
          </cell>
          <cell r="E93">
            <v>20000</v>
          </cell>
          <cell r="F93">
            <v>500000</v>
          </cell>
          <cell r="G93">
            <v>3250000</v>
          </cell>
          <cell r="H93">
            <v>23000</v>
          </cell>
          <cell r="I93">
            <v>575000</v>
          </cell>
        </row>
        <row r="94">
          <cell r="B94" t="str">
            <v>IIIC10</v>
          </cell>
          <cell r="C94">
            <v>2510000</v>
          </cell>
          <cell r="D94">
            <v>30000</v>
          </cell>
          <cell r="E94">
            <v>20000</v>
          </cell>
          <cell r="F94">
            <v>500000</v>
          </cell>
          <cell r="G94">
            <v>3275000</v>
          </cell>
          <cell r="H94">
            <v>23000</v>
          </cell>
          <cell r="I94">
            <v>575000</v>
          </cell>
        </row>
      </sheetData>
      <sheetData sheetId="2"/>
      <sheetData sheetId="3"/>
      <sheetData sheetId="4"/>
      <sheetData sheetId="5"/>
      <sheetData sheetId="6">
        <row r="7">
          <cell r="N7" t="str">
            <v>IA5</v>
          </cell>
          <cell r="R7">
            <v>17</v>
          </cell>
          <cell r="S7">
            <v>1</v>
          </cell>
        </row>
        <row r="8">
          <cell r="N8" t="str">
            <v>IIA1</v>
          </cell>
          <cell r="R8">
            <v>14</v>
          </cell>
          <cell r="S8">
            <v>4</v>
          </cell>
        </row>
        <row r="9">
          <cell r="N9" t="str">
            <v>IA5</v>
          </cell>
          <cell r="R9">
            <v>15</v>
          </cell>
          <cell r="S9">
            <v>3</v>
          </cell>
        </row>
        <row r="10">
          <cell r="N10" t="str">
            <v>IC5</v>
          </cell>
          <cell r="R10">
            <v>15</v>
          </cell>
          <cell r="S10">
            <v>5</v>
          </cell>
        </row>
        <row r="11">
          <cell r="N11" t="str">
            <v>IC1</v>
          </cell>
          <cell r="R11">
            <v>15</v>
          </cell>
          <cell r="S11">
            <v>3</v>
          </cell>
        </row>
        <row r="12">
          <cell r="N12" t="str">
            <v>IA1</v>
          </cell>
          <cell r="R12">
            <v>18</v>
          </cell>
          <cell r="S12"/>
        </row>
        <row r="14">
          <cell r="N14" t="str">
            <v>IA3</v>
          </cell>
          <cell r="R14">
            <v>15</v>
          </cell>
          <cell r="S14">
            <v>3</v>
          </cell>
        </row>
        <row r="15">
          <cell r="N15" t="str">
            <v>IA3</v>
          </cell>
          <cell r="R15">
            <v>18</v>
          </cell>
          <cell r="S15"/>
        </row>
        <row r="16">
          <cell r="N16" t="str">
            <v>IC1</v>
          </cell>
          <cell r="R16">
            <v>16</v>
          </cell>
          <cell r="S16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2"/>
  <sheetViews>
    <sheetView zoomScale="77" workbookViewId="0">
      <pane xSplit="4" ySplit="4" topLeftCell="E89" activePane="bottomRight" state="frozen"/>
      <selection pane="topRight"/>
      <selection pane="bottomLeft"/>
      <selection pane="bottomRight" activeCell="C109" sqref="C109"/>
    </sheetView>
  </sheetViews>
  <sheetFormatPr defaultColWidth="9" defaultRowHeight="18.5" x14ac:dyDescent="0.45"/>
  <cols>
    <col min="1" max="1" width="9.08984375" style="1" customWidth="1"/>
    <col min="2" max="2" width="11.453125" style="2"/>
    <col min="3" max="3" width="36.36328125" style="2" customWidth="1"/>
    <col min="4" max="4" width="16.1796875" style="3" customWidth="1"/>
    <col min="5" max="5" width="15.08984375" style="2" customWidth="1"/>
    <col min="6" max="6" width="43.1796875" style="2" customWidth="1"/>
    <col min="7" max="7" width="24.1796875" style="4" customWidth="1"/>
    <col min="8" max="9" width="12.6328125" style="1" customWidth="1"/>
    <col min="10" max="10" width="18.6328125" style="1" customWidth="1"/>
    <col min="11" max="11" width="17.6328125" style="1" customWidth="1"/>
    <col min="12" max="12" width="13.1796875" style="5" customWidth="1"/>
    <col min="13" max="13" width="22.453125" style="6" customWidth="1"/>
    <col min="14" max="14" width="25.08984375" style="5" customWidth="1"/>
    <col min="15" max="15" width="13.54296875" style="1" customWidth="1"/>
    <col min="16" max="17" width="11.6328125" style="2" customWidth="1"/>
    <col min="18" max="18" width="11.453125" style="7"/>
    <col min="19" max="21" width="15.453125" style="7" customWidth="1"/>
    <col min="22" max="22" width="13.90625" style="2" customWidth="1"/>
    <col min="23" max="24" width="15.36328125" style="2" customWidth="1"/>
    <col min="25" max="25" width="16.08984375" style="2" customWidth="1"/>
    <col min="26" max="26" width="13.90625" style="2" customWidth="1"/>
    <col min="27" max="27" width="16" style="2" hidden="1" customWidth="1"/>
    <col min="28" max="28" width="16" style="2" customWidth="1"/>
    <col min="29" max="29" width="18.6328125" style="2" customWidth="1"/>
    <col min="30" max="30" width="20.6328125" style="2" customWidth="1"/>
    <col min="31" max="31" width="15.08984375" style="2" customWidth="1"/>
    <col min="32" max="32" width="20.6328125" style="8" customWidth="1"/>
    <col min="33" max="35" width="20.6328125" style="2" customWidth="1"/>
    <col min="36" max="1025" width="9.08984375" style="2" customWidth="1"/>
  </cols>
  <sheetData>
    <row r="1" spans="1:35" ht="18.75" customHeight="1" x14ac:dyDescent="0.45">
      <c r="B1" s="491" t="s">
        <v>0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</row>
    <row r="2" spans="1:35" ht="18.75" customHeight="1" x14ac:dyDescent="0.45"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</row>
    <row r="3" spans="1:35" ht="18.75" customHeight="1" x14ac:dyDescent="0.45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11" t="s">
        <v>31</v>
      </c>
      <c r="AG3" s="9" t="s">
        <v>32</v>
      </c>
      <c r="AH3" s="9" t="s">
        <v>33</v>
      </c>
      <c r="AI3" s="9" t="s">
        <v>34</v>
      </c>
    </row>
    <row r="4" spans="1:35" s="12" customFormat="1" ht="42" customHeight="1" x14ac:dyDescent="0.35">
      <c r="A4" s="13" t="s">
        <v>35</v>
      </c>
      <c r="B4" s="14" t="s">
        <v>36</v>
      </c>
      <c r="C4" s="14" t="s">
        <v>37</v>
      </c>
      <c r="D4" s="15" t="s">
        <v>38</v>
      </c>
      <c r="E4" s="14" t="s">
        <v>39</v>
      </c>
      <c r="F4" s="14" t="s">
        <v>40</v>
      </c>
      <c r="G4" s="16" t="s">
        <v>41</v>
      </c>
      <c r="H4" s="14" t="s">
        <v>42</v>
      </c>
      <c r="I4" s="14" t="s">
        <v>43</v>
      </c>
      <c r="J4" s="14" t="s">
        <v>44</v>
      </c>
      <c r="K4" s="14" t="s">
        <v>45</v>
      </c>
      <c r="L4" s="14" t="s">
        <v>46</v>
      </c>
      <c r="M4" s="14" t="s">
        <v>47</v>
      </c>
      <c r="N4" s="14" t="s">
        <v>48</v>
      </c>
      <c r="O4" s="14" t="s">
        <v>49</v>
      </c>
      <c r="P4" s="14" t="s">
        <v>50</v>
      </c>
      <c r="Q4" s="14" t="s">
        <v>51</v>
      </c>
      <c r="R4" s="17" t="s">
        <v>52</v>
      </c>
      <c r="S4" s="17" t="s">
        <v>53</v>
      </c>
      <c r="T4" s="17" t="s">
        <v>54</v>
      </c>
      <c r="U4" s="17" t="s">
        <v>55</v>
      </c>
      <c r="V4" s="14" t="s">
        <v>56</v>
      </c>
      <c r="W4" s="14" t="s">
        <v>57</v>
      </c>
      <c r="X4" s="14" t="s">
        <v>58</v>
      </c>
      <c r="Y4" s="14" t="s">
        <v>59</v>
      </c>
      <c r="Z4" s="14" t="s">
        <v>60</v>
      </c>
      <c r="AA4" s="14" t="s">
        <v>58</v>
      </c>
      <c r="AB4" s="14" t="s">
        <v>61</v>
      </c>
      <c r="AC4" s="14" t="s">
        <v>62</v>
      </c>
      <c r="AD4" s="14" t="s">
        <v>63</v>
      </c>
      <c r="AE4" s="14" t="s">
        <v>64</v>
      </c>
      <c r="AF4" s="18" t="s">
        <v>65</v>
      </c>
      <c r="AG4" s="14" t="s">
        <v>66</v>
      </c>
      <c r="AH4" s="14" t="s">
        <v>66</v>
      </c>
      <c r="AI4" s="14" t="s">
        <v>66</v>
      </c>
    </row>
    <row r="5" spans="1:35" ht="26.25" customHeight="1" x14ac:dyDescent="0.45">
      <c r="A5" s="19">
        <v>1</v>
      </c>
      <c r="B5" s="20" t="s">
        <v>67</v>
      </c>
      <c r="C5" s="21" t="s">
        <v>68</v>
      </c>
      <c r="D5" s="22" t="s">
        <v>69</v>
      </c>
      <c r="E5" s="21" t="s">
        <v>70</v>
      </c>
      <c r="F5" s="20" t="s">
        <v>71</v>
      </c>
      <c r="G5" s="23">
        <v>40379</v>
      </c>
      <c r="H5" s="24">
        <v>12</v>
      </c>
      <c r="I5" s="24" t="s">
        <v>72</v>
      </c>
      <c r="J5" s="24" t="s">
        <v>73</v>
      </c>
      <c r="K5" s="24" t="s">
        <v>74</v>
      </c>
      <c r="L5" s="24" t="s">
        <v>75</v>
      </c>
      <c r="M5" s="25" t="s">
        <v>76</v>
      </c>
      <c r="N5" s="20" t="str">
        <f>VLOOKUP(O5,'TJ. FUNGSIONAL'!$B$4:$C$34,2,0)</f>
        <v>Staf Admin RA</v>
      </c>
      <c r="O5" s="24" t="s">
        <v>77</v>
      </c>
      <c r="P5" s="26"/>
      <c r="Q5" s="26"/>
      <c r="R5" s="27"/>
      <c r="S5" s="27"/>
      <c r="T5" s="27"/>
      <c r="U5" s="27"/>
      <c r="V5" s="28"/>
      <c r="W5" s="28"/>
      <c r="X5" s="28"/>
      <c r="Y5" s="28"/>
      <c r="Z5" s="29"/>
      <c r="AA5" s="28"/>
      <c r="AB5" s="24"/>
      <c r="AC5" s="30"/>
      <c r="AD5" s="30"/>
      <c r="AE5" s="30"/>
      <c r="AF5" s="31"/>
      <c r="AG5" s="30"/>
      <c r="AH5" s="30"/>
      <c r="AI5" s="30"/>
    </row>
    <row r="6" spans="1:35" ht="26.25" customHeight="1" x14ac:dyDescent="0.45">
      <c r="A6" s="19">
        <v>2</v>
      </c>
      <c r="B6" s="20" t="s">
        <v>78</v>
      </c>
      <c r="C6" s="21" t="s">
        <v>79</v>
      </c>
      <c r="D6" s="22" t="s">
        <v>80</v>
      </c>
      <c r="E6" s="21" t="s">
        <v>81</v>
      </c>
      <c r="F6" s="21" t="s">
        <v>82</v>
      </c>
      <c r="G6" s="23">
        <v>40379</v>
      </c>
      <c r="H6" s="32">
        <v>12</v>
      </c>
      <c r="I6" s="32" t="s">
        <v>72</v>
      </c>
      <c r="J6" s="32" t="s">
        <v>83</v>
      </c>
      <c r="K6" s="32" t="s">
        <v>84</v>
      </c>
      <c r="L6" s="33" t="s">
        <v>85</v>
      </c>
      <c r="M6" s="34" t="s">
        <v>86</v>
      </c>
      <c r="N6" s="20" t="str">
        <f>VLOOKUP(O6,'TJ. FUNGSIONAL'!$B$4:$C$34,2,0)</f>
        <v>Kepala SD</v>
      </c>
      <c r="O6" s="32" t="s">
        <v>87</v>
      </c>
      <c r="P6" s="26"/>
      <c r="Q6" s="26"/>
      <c r="R6" s="27"/>
      <c r="S6" s="27"/>
      <c r="T6" s="27"/>
      <c r="U6" s="27"/>
      <c r="V6" s="28"/>
      <c r="W6" s="28"/>
      <c r="X6" s="28"/>
      <c r="Y6" s="28"/>
      <c r="Z6" s="29"/>
      <c r="AA6" s="28"/>
      <c r="AB6" s="24"/>
      <c r="AC6" s="30"/>
      <c r="AD6" s="30"/>
      <c r="AE6" s="30"/>
      <c r="AF6" s="31"/>
      <c r="AG6" s="30"/>
      <c r="AH6" s="30"/>
      <c r="AI6" s="30"/>
    </row>
    <row r="7" spans="1:35" ht="26.25" customHeight="1" x14ac:dyDescent="0.45">
      <c r="A7" s="19">
        <v>3</v>
      </c>
      <c r="B7" s="20" t="s">
        <v>88</v>
      </c>
      <c r="C7" s="21" t="s">
        <v>89</v>
      </c>
      <c r="D7" s="22" t="s">
        <v>90</v>
      </c>
      <c r="E7" s="21" t="s">
        <v>70</v>
      </c>
      <c r="F7" s="20" t="s">
        <v>91</v>
      </c>
      <c r="G7" s="23">
        <v>40379</v>
      </c>
      <c r="H7" s="24">
        <v>12</v>
      </c>
      <c r="I7" s="24" t="s">
        <v>72</v>
      </c>
      <c r="J7" s="24" t="s">
        <v>83</v>
      </c>
      <c r="K7" s="24" t="s">
        <v>84</v>
      </c>
      <c r="L7" s="35" t="s">
        <v>92</v>
      </c>
      <c r="M7" s="25" t="s">
        <v>93</v>
      </c>
      <c r="N7" s="20" t="str">
        <f>VLOOKUP(O7,'TJ. FUNGSIONAL'!$B$4:$C$34,2,0)</f>
        <v>Kepala RA</v>
      </c>
      <c r="O7" s="24" t="s">
        <v>94</v>
      </c>
      <c r="P7" s="26"/>
      <c r="Q7" s="26"/>
      <c r="R7" s="27"/>
      <c r="S7" s="27"/>
      <c r="T7" s="27"/>
      <c r="U7" s="27"/>
      <c r="V7" s="28"/>
      <c r="W7" s="28"/>
      <c r="X7" s="28"/>
      <c r="Y7" s="28"/>
      <c r="Z7" s="29"/>
      <c r="AA7" s="28"/>
      <c r="AB7" s="24"/>
      <c r="AC7" s="30"/>
      <c r="AD7" s="30"/>
      <c r="AE7" s="30"/>
      <c r="AF7" s="31"/>
      <c r="AG7" s="30"/>
      <c r="AH7" s="30"/>
      <c r="AI7" s="30"/>
    </row>
    <row r="8" spans="1:35" ht="26.25" customHeight="1" x14ac:dyDescent="0.45">
      <c r="A8" s="19">
        <v>4</v>
      </c>
      <c r="B8" s="20" t="s">
        <v>95</v>
      </c>
      <c r="C8" s="21" t="s">
        <v>96</v>
      </c>
      <c r="D8" s="22" t="s">
        <v>97</v>
      </c>
      <c r="E8" s="21" t="s">
        <v>70</v>
      </c>
      <c r="F8" s="20" t="s">
        <v>98</v>
      </c>
      <c r="G8" s="23">
        <v>40379</v>
      </c>
      <c r="H8" s="24">
        <v>12</v>
      </c>
      <c r="I8" s="24" t="s">
        <v>72</v>
      </c>
      <c r="J8" s="24" t="s">
        <v>99</v>
      </c>
      <c r="K8" s="24" t="s">
        <v>74</v>
      </c>
      <c r="L8" s="35" t="s">
        <v>75</v>
      </c>
      <c r="M8" s="25" t="s">
        <v>76</v>
      </c>
      <c r="N8" s="20" t="str">
        <f>VLOOKUP(O8,'TJ. FUNGSIONAL'!$B$4:$C$34,2,0)</f>
        <v>Petugas Kebersihan</v>
      </c>
      <c r="O8" s="24" t="s">
        <v>100</v>
      </c>
      <c r="P8" s="26"/>
      <c r="Q8" s="26"/>
      <c r="R8" s="27"/>
      <c r="S8" s="27"/>
      <c r="T8" s="27"/>
      <c r="U8" s="27"/>
      <c r="V8" s="28"/>
      <c r="W8" s="28"/>
      <c r="X8" s="28"/>
      <c r="Y8" s="28"/>
      <c r="Z8" s="29"/>
      <c r="AA8" s="28"/>
      <c r="AB8" s="24"/>
      <c r="AC8" s="30"/>
      <c r="AD8" s="30"/>
      <c r="AE8" s="30"/>
      <c r="AF8" s="31"/>
      <c r="AG8" s="30"/>
      <c r="AH8" s="30"/>
      <c r="AI8" s="30"/>
    </row>
    <row r="9" spans="1:35" ht="26.25" customHeight="1" x14ac:dyDescent="0.45">
      <c r="A9" s="19">
        <v>5</v>
      </c>
      <c r="B9" s="20" t="s">
        <v>101</v>
      </c>
      <c r="C9" s="21" t="s">
        <v>102</v>
      </c>
      <c r="D9" s="22" t="s">
        <v>103</v>
      </c>
      <c r="E9" s="21" t="s">
        <v>70</v>
      </c>
      <c r="F9" s="20" t="s">
        <v>104</v>
      </c>
      <c r="G9" s="23">
        <v>40513</v>
      </c>
      <c r="H9" s="24">
        <v>11</v>
      </c>
      <c r="I9" s="24" t="s">
        <v>72</v>
      </c>
      <c r="J9" s="24" t="s">
        <v>105</v>
      </c>
      <c r="K9" s="24" t="s">
        <v>84</v>
      </c>
      <c r="L9" s="35" t="s">
        <v>92</v>
      </c>
      <c r="M9" s="25" t="s">
        <v>106</v>
      </c>
      <c r="N9" s="20" t="str">
        <f>VLOOKUP(O9,'TJ. FUNGSIONAL'!$B$4:$C$34,2,0)</f>
        <v>Wakil Kepala RA</v>
      </c>
      <c r="O9" s="24" t="s">
        <v>107</v>
      </c>
      <c r="P9" s="26"/>
      <c r="Q9" s="26"/>
      <c r="R9" s="27"/>
      <c r="S9" s="27"/>
      <c r="T9" s="27"/>
      <c r="U9" s="27"/>
      <c r="V9" s="28"/>
      <c r="W9" s="28"/>
      <c r="X9" s="28"/>
      <c r="Y9" s="28"/>
      <c r="Z9" s="29"/>
      <c r="AA9" s="28"/>
      <c r="AB9" s="24"/>
      <c r="AC9" s="30"/>
      <c r="AD9" s="30"/>
      <c r="AE9" s="30"/>
      <c r="AF9" s="31"/>
      <c r="AG9" s="30"/>
      <c r="AH9" s="30"/>
      <c r="AI9" s="30"/>
    </row>
    <row r="10" spans="1:35" ht="26.25" customHeight="1" x14ac:dyDescent="0.45">
      <c r="A10" s="19">
        <v>6</v>
      </c>
      <c r="B10" s="20" t="s">
        <v>108</v>
      </c>
      <c r="C10" s="21" t="s">
        <v>109</v>
      </c>
      <c r="D10" s="22" t="s">
        <v>110</v>
      </c>
      <c r="E10" s="21" t="s">
        <v>81</v>
      </c>
      <c r="F10" s="20" t="s">
        <v>111</v>
      </c>
      <c r="G10" s="23">
        <v>40716</v>
      </c>
      <c r="H10" s="24">
        <v>11</v>
      </c>
      <c r="I10" s="24" t="s">
        <v>72</v>
      </c>
      <c r="J10" s="24" t="s">
        <v>99</v>
      </c>
      <c r="K10" s="24" t="s">
        <v>84</v>
      </c>
      <c r="L10" s="35" t="s">
        <v>112</v>
      </c>
      <c r="M10" s="25" t="s">
        <v>113</v>
      </c>
      <c r="N10" s="20" t="str">
        <f>VLOOKUP(O10,'TJ. FUNGSIONAL'!$B$4:$C$34,2,0)</f>
        <v>Wakil Kepala SD</v>
      </c>
      <c r="O10" s="24" t="s">
        <v>114</v>
      </c>
      <c r="P10" s="36"/>
      <c r="Q10" s="37"/>
      <c r="R10" s="37"/>
      <c r="S10" s="38"/>
      <c r="T10" s="38"/>
      <c r="U10" s="38"/>
      <c r="V10" s="28"/>
      <c r="W10" s="28"/>
      <c r="X10" s="28"/>
      <c r="Y10" s="28"/>
      <c r="Z10" s="29"/>
      <c r="AA10" s="28"/>
      <c r="AB10" s="26"/>
      <c r="AC10" s="28"/>
      <c r="AD10" s="30"/>
      <c r="AE10" s="30"/>
      <c r="AF10" s="31"/>
      <c r="AG10" s="30"/>
      <c r="AH10" s="30"/>
      <c r="AI10" s="30"/>
    </row>
    <row r="11" spans="1:35" ht="26.25" customHeight="1" x14ac:dyDescent="0.45">
      <c r="A11" s="19">
        <v>7</v>
      </c>
      <c r="B11" s="20" t="s">
        <v>115</v>
      </c>
      <c r="C11" s="21" t="s">
        <v>116</v>
      </c>
      <c r="D11" s="22" t="s">
        <v>117</v>
      </c>
      <c r="E11" s="21" t="s">
        <v>81</v>
      </c>
      <c r="F11" s="21" t="s">
        <v>118</v>
      </c>
      <c r="G11" s="23">
        <v>41094</v>
      </c>
      <c r="H11" s="32">
        <v>10</v>
      </c>
      <c r="I11" s="32" t="s">
        <v>72</v>
      </c>
      <c r="J11" s="32" t="s">
        <v>119</v>
      </c>
      <c r="K11" s="32" t="s">
        <v>84</v>
      </c>
      <c r="L11" s="33" t="s">
        <v>120</v>
      </c>
      <c r="M11" s="34" t="s">
        <v>121</v>
      </c>
      <c r="N11" s="20" t="str">
        <f>VLOOKUP(O11,'TJ. FUNGSIONAL'!$B$4:$C$34,2,0)</f>
        <v>Kepala Divisi</v>
      </c>
      <c r="O11" s="32" t="s">
        <v>122</v>
      </c>
      <c r="P11" s="36"/>
      <c r="Q11" s="37"/>
      <c r="R11" s="37"/>
      <c r="S11" s="38"/>
      <c r="T11" s="38"/>
      <c r="U11" s="38"/>
      <c r="V11" s="28"/>
      <c r="W11" s="28"/>
      <c r="X11" s="28"/>
      <c r="Y11" s="28"/>
      <c r="Z11" s="29"/>
      <c r="AA11" s="28"/>
      <c r="AB11" s="26"/>
      <c r="AC11" s="28"/>
      <c r="AD11" s="30"/>
      <c r="AE11" s="30"/>
      <c r="AF11" s="31"/>
      <c r="AG11" s="30"/>
      <c r="AH11" s="30"/>
      <c r="AI11" s="30"/>
    </row>
    <row r="12" spans="1:35" ht="26.25" customHeight="1" x14ac:dyDescent="0.45">
      <c r="A12" s="19">
        <v>8</v>
      </c>
      <c r="B12" s="20" t="s">
        <v>123</v>
      </c>
      <c r="C12" s="21" t="s">
        <v>124</v>
      </c>
      <c r="D12" s="22" t="s">
        <v>125</v>
      </c>
      <c r="E12" s="21" t="s">
        <v>81</v>
      </c>
      <c r="F12" s="21" t="s">
        <v>126</v>
      </c>
      <c r="G12" s="23">
        <v>41465</v>
      </c>
      <c r="H12" s="32">
        <v>9</v>
      </c>
      <c r="I12" s="32" t="s">
        <v>72</v>
      </c>
      <c r="J12" s="32" t="s">
        <v>73</v>
      </c>
      <c r="K12" s="32" t="s">
        <v>84</v>
      </c>
      <c r="L12" s="33" t="s">
        <v>120</v>
      </c>
      <c r="M12" s="34" t="s">
        <v>121</v>
      </c>
      <c r="N12" s="20" t="str">
        <f>VLOOKUP(O12,'TJ. FUNGSIONAL'!$B$4:$C$34,2,0)</f>
        <v>Kepala Divisi</v>
      </c>
      <c r="O12" s="32" t="s">
        <v>122</v>
      </c>
      <c r="P12" s="36"/>
      <c r="Q12" s="37"/>
      <c r="R12" s="37"/>
      <c r="S12" s="38"/>
      <c r="T12" s="38"/>
      <c r="U12" s="38"/>
      <c r="V12" s="28"/>
      <c r="W12" s="28"/>
      <c r="X12" s="28"/>
      <c r="Y12" s="28"/>
      <c r="Z12" s="29"/>
      <c r="AA12" s="28"/>
      <c r="AB12" s="26"/>
      <c r="AC12" s="28"/>
      <c r="AD12" s="30"/>
      <c r="AE12" s="30"/>
      <c r="AF12" s="31"/>
      <c r="AG12" s="30"/>
      <c r="AH12" s="30"/>
      <c r="AI12" s="30"/>
    </row>
    <row r="13" spans="1:35" ht="26.25" customHeight="1" x14ac:dyDescent="0.45">
      <c r="A13" s="19">
        <v>9</v>
      </c>
      <c r="B13" s="20" t="s">
        <v>127</v>
      </c>
      <c r="C13" s="21" t="s">
        <v>128</v>
      </c>
      <c r="D13" s="22" t="s">
        <v>129</v>
      </c>
      <c r="E13" s="21" t="s">
        <v>130</v>
      </c>
      <c r="F13" s="21" t="s">
        <v>131</v>
      </c>
      <c r="G13" s="23">
        <v>41834</v>
      </c>
      <c r="H13" s="32">
        <v>8</v>
      </c>
      <c r="I13" s="32" t="s">
        <v>72</v>
      </c>
      <c r="J13" s="32" t="s">
        <v>73</v>
      </c>
      <c r="K13" s="32" t="s">
        <v>84</v>
      </c>
      <c r="L13" s="33" t="s">
        <v>120</v>
      </c>
      <c r="M13" s="34" t="s">
        <v>132</v>
      </c>
      <c r="N13" s="20" t="str">
        <f>VLOOKUP(O13,'TJ. FUNGSIONAL'!$B$4:$C$34,2,0)</f>
        <v>Wakil Kepala SMP</v>
      </c>
      <c r="O13" s="32" t="s">
        <v>133</v>
      </c>
      <c r="P13" s="36"/>
      <c r="Q13" s="37"/>
      <c r="R13" s="37"/>
      <c r="S13" s="38"/>
      <c r="T13" s="38"/>
      <c r="U13" s="38"/>
      <c r="V13" s="28"/>
      <c r="W13" s="28"/>
      <c r="X13" s="28"/>
      <c r="Y13" s="28"/>
      <c r="Z13" s="29"/>
      <c r="AA13" s="28"/>
      <c r="AB13" s="26"/>
      <c r="AC13" s="28"/>
      <c r="AD13" s="30"/>
      <c r="AE13" s="30"/>
      <c r="AF13" s="31"/>
      <c r="AG13" s="30"/>
      <c r="AH13" s="30"/>
      <c r="AI13" s="30"/>
    </row>
    <row r="14" spans="1:35" ht="26.25" customHeight="1" x14ac:dyDescent="0.45">
      <c r="A14" s="19">
        <v>10</v>
      </c>
      <c r="B14" s="20" t="s">
        <v>134</v>
      </c>
      <c r="C14" s="21" t="s">
        <v>135</v>
      </c>
      <c r="D14" s="22" t="s">
        <v>136</v>
      </c>
      <c r="E14" s="21" t="s">
        <v>70</v>
      </c>
      <c r="F14" s="20" t="s">
        <v>137</v>
      </c>
      <c r="G14" s="23">
        <v>41871</v>
      </c>
      <c r="H14" s="24">
        <v>7</v>
      </c>
      <c r="I14" s="24" t="s">
        <v>72</v>
      </c>
      <c r="J14" s="24" t="s">
        <v>83</v>
      </c>
      <c r="K14" s="24" t="s">
        <v>74</v>
      </c>
      <c r="L14" s="35" t="s">
        <v>75</v>
      </c>
      <c r="M14" s="25" t="s">
        <v>76</v>
      </c>
      <c r="N14" s="20" t="str">
        <f>VLOOKUP(O14,'TJ. FUNGSIONAL'!$B$4:$C$34,2,0)</f>
        <v>Karywn Penitipan</v>
      </c>
      <c r="O14" s="24" t="s">
        <v>138</v>
      </c>
      <c r="P14" s="26"/>
      <c r="Q14" s="26"/>
      <c r="R14" s="27"/>
      <c r="S14" s="27"/>
      <c r="T14" s="27"/>
      <c r="U14" s="27"/>
      <c r="V14" s="28"/>
      <c r="W14" s="28"/>
      <c r="X14" s="28"/>
      <c r="Y14" s="28"/>
      <c r="Z14" s="29"/>
      <c r="AA14" s="28"/>
      <c r="AB14" s="24"/>
      <c r="AC14" s="30"/>
      <c r="AD14" s="30"/>
      <c r="AE14" s="30"/>
      <c r="AF14" s="31"/>
      <c r="AG14" s="30"/>
      <c r="AH14" s="30"/>
      <c r="AI14" s="30"/>
    </row>
    <row r="15" spans="1:35" ht="26.25" customHeight="1" x14ac:dyDescent="0.45">
      <c r="A15" s="19">
        <v>11</v>
      </c>
      <c r="B15" s="20" t="s">
        <v>139</v>
      </c>
      <c r="C15" s="39" t="s">
        <v>140</v>
      </c>
      <c r="D15" s="40" t="s">
        <v>141</v>
      </c>
      <c r="E15" s="41" t="s">
        <v>130</v>
      </c>
      <c r="F15" s="42" t="s">
        <v>142</v>
      </c>
      <c r="G15" s="43">
        <v>42122</v>
      </c>
      <c r="H15" s="44">
        <v>7</v>
      </c>
      <c r="I15" s="44" t="s">
        <v>72</v>
      </c>
      <c r="J15" s="44" t="s">
        <v>73</v>
      </c>
      <c r="K15" s="44" t="s">
        <v>74</v>
      </c>
      <c r="L15" s="45" t="s">
        <v>112</v>
      </c>
      <c r="M15" s="46" t="s">
        <v>143</v>
      </c>
      <c r="N15" s="20" t="str">
        <f>VLOOKUP(O15,'TJ. FUNGSIONAL'!$B$4:$C$34,2,0)</f>
        <v>Wakil Kepala SMP</v>
      </c>
      <c r="O15" s="44" t="s">
        <v>133</v>
      </c>
      <c r="P15" s="36"/>
      <c r="Q15" s="37"/>
      <c r="R15" s="37"/>
      <c r="S15" s="47"/>
      <c r="T15" s="47"/>
      <c r="U15" s="47"/>
      <c r="V15" s="28"/>
      <c r="W15" s="28"/>
      <c r="X15" s="28"/>
      <c r="Y15" s="28"/>
      <c r="Z15" s="48"/>
      <c r="AA15" s="26"/>
      <c r="AB15" s="49"/>
      <c r="AC15" s="50"/>
      <c r="AD15" s="51"/>
      <c r="AE15" s="51"/>
      <c r="AF15" s="31"/>
      <c r="AG15" s="30"/>
      <c r="AH15" s="30"/>
      <c r="AI15" s="30"/>
    </row>
    <row r="16" spans="1:35" ht="26.25" customHeight="1" x14ac:dyDescent="0.45">
      <c r="A16" s="19">
        <v>12</v>
      </c>
      <c r="B16" s="20" t="s">
        <v>144</v>
      </c>
      <c r="C16" s="21" t="s">
        <v>145</v>
      </c>
      <c r="D16" s="22" t="s">
        <v>146</v>
      </c>
      <c r="E16" s="21" t="s">
        <v>81</v>
      </c>
      <c r="F16" s="21" t="s">
        <v>147</v>
      </c>
      <c r="G16" s="23">
        <v>42591</v>
      </c>
      <c r="H16" s="32">
        <v>5</v>
      </c>
      <c r="I16" s="32" t="s">
        <v>72</v>
      </c>
      <c r="J16" s="32" t="s">
        <v>73</v>
      </c>
      <c r="K16" s="32" t="s">
        <v>84</v>
      </c>
      <c r="L16" s="35" t="s">
        <v>112</v>
      </c>
      <c r="M16" s="34" t="s">
        <v>106</v>
      </c>
      <c r="N16" s="20" t="str">
        <f>VLOOKUP(O16,'TJ. FUNGSIONAL'!$B$4:$C$34,2,0)</f>
        <v>Wakil Kepala SD</v>
      </c>
      <c r="O16" s="32" t="s">
        <v>114</v>
      </c>
      <c r="P16" s="36"/>
      <c r="Q16" s="37"/>
      <c r="R16" s="37"/>
      <c r="S16" s="38"/>
      <c r="T16" s="38"/>
      <c r="U16" s="38"/>
      <c r="V16" s="28"/>
      <c r="W16" s="28"/>
      <c r="X16" s="28"/>
      <c r="Y16" s="28"/>
      <c r="Z16" s="29"/>
      <c r="AA16" s="28"/>
      <c r="AB16" s="26"/>
      <c r="AC16" s="28"/>
      <c r="AD16" s="30"/>
      <c r="AE16" s="30"/>
      <c r="AF16" s="31"/>
      <c r="AG16" s="30"/>
      <c r="AH16" s="30"/>
      <c r="AI16" s="30"/>
    </row>
    <row r="17" spans="1:35" s="52" customFormat="1" ht="26.25" customHeight="1" x14ac:dyDescent="0.45">
      <c r="A17" s="19">
        <v>13</v>
      </c>
      <c r="B17" s="20" t="s">
        <v>148</v>
      </c>
      <c r="C17" s="41" t="s">
        <v>149</v>
      </c>
      <c r="D17" s="40" t="s">
        <v>150</v>
      </c>
      <c r="E17" s="41" t="s">
        <v>81</v>
      </c>
      <c r="F17" s="41" t="s">
        <v>151</v>
      </c>
      <c r="G17" s="43">
        <v>42592</v>
      </c>
      <c r="H17" s="53">
        <v>5</v>
      </c>
      <c r="I17" s="53" t="s">
        <v>72</v>
      </c>
      <c r="J17" s="53" t="s">
        <v>73</v>
      </c>
      <c r="K17" s="53" t="s">
        <v>84</v>
      </c>
      <c r="L17" s="54" t="s">
        <v>120</v>
      </c>
      <c r="M17" s="55" t="s">
        <v>152</v>
      </c>
      <c r="N17" s="20" t="str">
        <f>VLOOKUP(O17,'TJ. FUNGSIONAL'!$B$4:$C$34,2,0)</f>
        <v>Wakil Kepala SD</v>
      </c>
      <c r="O17" s="53" t="s">
        <v>114</v>
      </c>
      <c r="P17" s="36"/>
      <c r="Q17" s="37"/>
      <c r="R17" s="37"/>
      <c r="S17" s="47"/>
      <c r="T17" s="47"/>
      <c r="U17" s="47"/>
      <c r="V17" s="50"/>
      <c r="W17" s="50"/>
      <c r="X17" s="50"/>
      <c r="Y17" s="50"/>
      <c r="Z17" s="48"/>
      <c r="AA17" s="50"/>
      <c r="AB17" s="49"/>
      <c r="AC17" s="50"/>
      <c r="AD17" s="51"/>
      <c r="AE17" s="51"/>
      <c r="AF17" s="31"/>
      <c r="AG17" s="51"/>
      <c r="AH17" s="51"/>
      <c r="AI17" s="51"/>
    </row>
    <row r="18" spans="1:35" ht="26.25" customHeight="1" x14ac:dyDescent="0.45">
      <c r="A18" s="19">
        <v>14</v>
      </c>
      <c r="B18" s="20" t="s">
        <v>153</v>
      </c>
      <c r="C18" s="56" t="s">
        <v>154</v>
      </c>
      <c r="D18" s="22" t="s">
        <v>155</v>
      </c>
      <c r="E18" s="21" t="s">
        <v>81</v>
      </c>
      <c r="F18" s="20" t="s">
        <v>156</v>
      </c>
      <c r="G18" s="23">
        <v>42899</v>
      </c>
      <c r="H18" s="24">
        <v>5</v>
      </c>
      <c r="I18" s="32" t="s">
        <v>72</v>
      </c>
      <c r="J18" s="24" t="s">
        <v>83</v>
      </c>
      <c r="K18" s="24" t="s">
        <v>74</v>
      </c>
      <c r="L18" s="35" t="s">
        <v>92</v>
      </c>
      <c r="M18" s="25" t="s">
        <v>157</v>
      </c>
      <c r="N18" s="20" t="str">
        <f>VLOOKUP(O18,'TJ. FUNGSIONAL'!$B$4:$C$34,2,0)</f>
        <v>Wali Kelas SD</v>
      </c>
      <c r="O18" s="24" t="s">
        <v>158</v>
      </c>
      <c r="P18" s="36"/>
      <c r="Q18" s="37"/>
      <c r="R18" s="37"/>
      <c r="S18" s="38"/>
      <c r="T18" s="38"/>
      <c r="U18" s="38"/>
      <c r="V18" s="28"/>
      <c r="W18" s="28"/>
      <c r="X18" s="28"/>
      <c r="Y18" s="28"/>
      <c r="Z18" s="29"/>
      <c r="AA18" s="28"/>
      <c r="AB18" s="26"/>
      <c r="AC18" s="28"/>
      <c r="AD18" s="30"/>
      <c r="AE18" s="30"/>
      <c r="AF18" s="31"/>
      <c r="AG18" s="30"/>
      <c r="AH18" s="30"/>
      <c r="AI18" s="30"/>
    </row>
    <row r="19" spans="1:35" ht="26.25" customHeight="1" x14ac:dyDescent="0.45">
      <c r="A19" s="19">
        <v>15</v>
      </c>
      <c r="B19" s="20" t="s">
        <v>159</v>
      </c>
      <c r="C19" s="20" t="s">
        <v>160</v>
      </c>
      <c r="D19" s="22" t="s">
        <v>161</v>
      </c>
      <c r="E19" s="20" t="s">
        <v>81</v>
      </c>
      <c r="F19" s="20" t="s">
        <v>162</v>
      </c>
      <c r="G19" s="23">
        <v>42940</v>
      </c>
      <c r="H19" s="24">
        <v>5</v>
      </c>
      <c r="I19" s="32" t="s">
        <v>163</v>
      </c>
      <c r="J19" s="24" t="s">
        <v>164</v>
      </c>
      <c r="K19" s="24" t="s">
        <v>74</v>
      </c>
      <c r="L19" s="35" t="s">
        <v>75</v>
      </c>
      <c r="M19" s="25" t="s">
        <v>76</v>
      </c>
      <c r="N19" s="20" t="str">
        <f>VLOOKUP(O19,'TJ. FUNGSIONAL'!$B$4:$C$34,2,0)</f>
        <v>Petugas Kebersihan</v>
      </c>
      <c r="O19" s="24" t="s">
        <v>165</v>
      </c>
      <c r="P19" s="36"/>
      <c r="Q19" s="37"/>
      <c r="R19" s="37"/>
      <c r="S19" s="38"/>
      <c r="T19" s="38"/>
      <c r="U19" s="38"/>
      <c r="V19" s="28"/>
      <c r="W19" s="28"/>
      <c r="X19" s="28"/>
      <c r="Y19" s="28"/>
      <c r="Z19" s="29"/>
      <c r="AA19" s="28"/>
      <c r="AB19" s="26"/>
      <c r="AC19" s="28"/>
      <c r="AD19" s="30"/>
      <c r="AE19" s="30"/>
      <c r="AF19" s="31"/>
      <c r="AG19" s="30"/>
      <c r="AH19" s="30"/>
      <c r="AI19" s="30"/>
    </row>
    <row r="20" spans="1:35" s="52" customFormat="1" ht="26.25" customHeight="1" x14ac:dyDescent="0.45">
      <c r="A20" s="19">
        <v>16</v>
      </c>
      <c r="B20" s="20" t="s">
        <v>166</v>
      </c>
      <c r="C20" s="57" t="s">
        <v>167</v>
      </c>
      <c r="D20" s="58" t="s">
        <v>168</v>
      </c>
      <c r="E20" s="20" t="s">
        <v>81</v>
      </c>
      <c r="F20" s="57" t="s">
        <v>169</v>
      </c>
      <c r="G20" s="23">
        <v>43057</v>
      </c>
      <c r="H20" s="24">
        <v>4</v>
      </c>
      <c r="I20" s="32" t="s">
        <v>163</v>
      </c>
      <c r="J20" s="24" t="s">
        <v>164</v>
      </c>
      <c r="K20" s="24" t="s">
        <v>74</v>
      </c>
      <c r="L20" s="35" t="s">
        <v>75</v>
      </c>
      <c r="M20" s="25" t="s">
        <v>170</v>
      </c>
      <c r="N20" s="20" t="str">
        <f>VLOOKUP(O20,'TJ. FUNGSIONAL'!$B$4:$C$34,2,0)</f>
        <v>Petugas Keamanan</v>
      </c>
      <c r="O20" s="24" t="s">
        <v>171</v>
      </c>
      <c r="P20" s="36"/>
      <c r="Q20" s="37"/>
      <c r="R20" s="37"/>
      <c r="S20" s="38"/>
      <c r="T20" s="38"/>
      <c r="U20" s="38"/>
      <c r="V20" s="28"/>
      <c r="W20" s="28"/>
      <c r="X20" s="28"/>
      <c r="Y20" s="28"/>
      <c r="Z20" s="59"/>
      <c r="AA20" s="28"/>
      <c r="AB20" s="26"/>
      <c r="AC20" s="28"/>
      <c r="AD20" s="30"/>
      <c r="AE20" s="30"/>
      <c r="AF20" s="31"/>
      <c r="AG20" s="30"/>
      <c r="AH20" s="30"/>
      <c r="AI20" s="30"/>
    </row>
    <row r="21" spans="1:35" ht="26.25" customHeight="1" x14ac:dyDescent="0.45">
      <c r="A21" s="19">
        <v>17</v>
      </c>
      <c r="B21" s="20" t="s">
        <v>172</v>
      </c>
      <c r="C21" s="57" t="s">
        <v>173</v>
      </c>
      <c r="D21" s="22" t="s">
        <v>174</v>
      </c>
      <c r="E21" s="20" t="s">
        <v>81</v>
      </c>
      <c r="F21" s="57" t="s">
        <v>175</v>
      </c>
      <c r="G21" s="60">
        <v>43152</v>
      </c>
      <c r="H21" s="24">
        <v>4</v>
      </c>
      <c r="I21" s="32" t="s">
        <v>72</v>
      </c>
      <c r="J21" s="24" t="s">
        <v>176</v>
      </c>
      <c r="K21" s="37" t="s">
        <v>84</v>
      </c>
      <c r="L21" s="61" t="s">
        <v>92</v>
      </c>
      <c r="M21" s="62" t="s">
        <v>143</v>
      </c>
      <c r="N21" s="20" t="str">
        <f>VLOOKUP(O21,'TJ. FUNGSIONAL'!$B$4:$C$34,2,0)</f>
        <v>Guru Quran SD</v>
      </c>
      <c r="O21" s="24" t="s">
        <v>177</v>
      </c>
      <c r="P21" s="36"/>
      <c r="Q21" s="37"/>
      <c r="R21" s="37"/>
      <c r="S21" s="38"/>
      <c r="T21" s="38"/>
      <c r="U21" s="38"/>
      <c r="V21" s="28"/>
      <c r="W21" s="28"/>
      <c r="X21" s="28"/>
      <c r="Y21" s="28"/>
      <c r="Z21" s="29"/>
      <c r="AA21" s="28"/>
      <c r="AB21" s="26"/>
      <c r="AC21" s="28"/>
      <c r="AD21" s="30"/>
      <c r="AE21" s="30"/>
      <c r="AF21" s="31"/>
      <c r="AG21" s="30"/>
      <c r="AH21" s="30"/>
      <c r="AI21" s="30"/>
    </row>
    <row r="22" spans="1:35" ht="26.25" customHeight="1" x14ac:dyDescent="0.45">
      <c r="A22" s="19">
        <v>18</v>
      </c>
      <c r="B22" s="20" t="s">
        <v>178</v>
      </c>
      <c r="C22" s="20" t="s">
        <v>179</v>
      </c>
      <c r="D22" s="22" t="s">
        <v>180</v>
      </c>
      <c r="E22" s="20" t="s">
        <v>130</v>
      </c>
      <c r="F22" s="20" t="s">
        <v>181</v>
      </c>
      <c r="G22" s="60">
        <v>43229</v>
      </c>
      <c r="H22" s="24">
        <v>4</v>
      </c>
      <c r="I22" s="32" t="s">
        <v>72</v>
      </c>
      <c r="J22" s="24" t="s">
        <v>182</v>
      </c>
      <c r="K22" s="24" t="s">
        <v>84</v>
      </c>
      <c r="L22" s="61" t="s">
        <v>120</v>
      </c>
      <c r="M22" s="25" t="s">
        <v>183</v>
      </c>
      <c r="N22" s="20" t="str">
        <f>VLOOKUP(O22,'TJ. FUNGSIONAL'!$B$4:$C$34,2,0)</f>
        <v>Kepala SMP</v>
      </c>
      <c r="O22" s="24" t="s">
        <v>184</v>
      </c>
      <c r="P22" s="36"/>
      <c r="Q22" s="37"/>
      <c r="R22" s="37"/>
      <c r="S22" s="38"/>
      <c r="T22" s="38"/>
      <c r="U22" s="38"/>
      <c r="V22" s="28"/>
      <c r="W22" s="28"/>
      <c r="X22" s="28"/>
      <c r="Y22" s="28"/>
      <c r="Z22" s="29"/>
      <c r="AA22" s="28"/>
      <c r="AB22" s="26"/>
      <c r="AC22" s="28"/>
      <c r="AD22" s="30"/>
      <c r="AE22" s="30"/>
      <c r="AF22" s="31"/>
      <c r="AG22" s="30"/>
      <c r="AH22" s="30"/>
      <c r="AI22" s="30"/>
    </row>
    <row r="23" spans="1:35" ht="26.25" customHeight="1" x14ac:dyDescent="0.45">
      <c r="A23" s="19">
        <v>19</v>
      </c>
      <c r="B23" s="20" t="s">
        <v>185</v>
      </c>
      <c r="C23" s="20" t="s">
        <v>186</v>
      </c>
      <c r="D23" s="22" t="s">
        <v>187</v>
      </c>
      <c r="E23" s="20" t="s">
        <v>81</v>
      </c>
      <c r="F23" s="20" t="s">
        <v>188</v>
      </c>
      <c r="G23" s="60">
        <v>43253</v>
      </c>
      <c r="H23" s="24">
        <v>4</v>
      </c>
      <c r="I23" s="32" t="s">
        <v>72</v>
      </c>
      <c r="J23" s="24" t="s">
        <v>73</v>
      </c>
      <c r="K23" s="37" t="s">
        <v>84</v>
      </c>
      <c r="L23" s="61" t="s">
        <v>92</v>
      </c>
      <c r="M23" s="62" t="s">
        <v>106</v>
      </c>
      <c r="N23" s="20" t="str">
        <f>VLOOKUP(O23,'TJ. FUNGSIONAL'!$B$4:$C$34,2,0)</f>
        <v>Wakil Kepala SD</v>
      </c>
      <c r="O23" s="24" t="s">
        <v>189</v>
      </c>
      <c r="P23" s="36"/>
      <c r="Q23" s="37"/>
      <c r="R23" s="37"/>
      <c r="S23" s="38"/>
      <c r="T23" s="38"/>
      <c r="U23" s="38"/>
      <c r="V23" s="28"/>
      <c r="W23" s="28"/>
      <c r="X23" s="28"/>
      <c r="Y23" s="28"/>
      <c r="Z23" s="29"/>
      <c r="AA23" s="28"/>
      <c r="AB23" s="26"/>
      <c r="AC23" s="28"/>
      <c r="AD23" s="30"/>
      <c r="AE23" s="30"/>
      <c r="AF23" s="31"/>
      <c r="AG23" s="30"/>
      <c r="AH23" s="30"/>
      <c r="AI23" s="30"/>
    </row>
    <row r="24" spans="1:35" ht="26.25" customHeight="1" x14ac:dyDescent="0.45">
      <c r="A24" s="19">
        <v>20</v>
      </c>
      <c r="B24" s="20" t="s">
        <v>190</v>
      </c>
      <c r="C24" s="20" t="s">
        <v>191</v>
      </c>
      <c r="D24" s="22" t="s">
        <v>192</v>
      </c>
      <c r="E24" s="20" t="s">
        <v>81</v>
      </c>
      <c r="F24" s="20" t="s">
        <v>193</v>
      </c>
      <c r="G24" s="63">
        <v>43290</v>
      </c>
      <c r="H24" s="24">
        <v>4</v>
      </c>
      <c r="I24" s="32" t="s">
        <v>72</v>
      </c>
      <c r="J24" s="24" t="s">
        <v>119</v>
      </c>
      <c r="K24" s="24" t="s">
        <v>74</v>
      </c>
      <c r="L24" s="35" t="s">
        <v>112</v>
      </c>
      <c r="M24" s="25" t="s">
        <v>194</v>
      </c>
      <c r="N24" s="20" t="str">
        <f>VLOOKUP(O24,'TJ. FUNGSIONAL'!$B$4:$C$34,2,0)</f>
        <v>Wakil Kepala SD</v>
      </c>
      <c r="O24" s="24" t="s">
        <v>189</v>
      </c>
      <c r="P24" s="36"/>
      <c r="Q24" s="37"/>
      <c r="R24" s="37"/>
      <c r="S24" s="38"/>
      <c r="T24" s="38"/>
      <c r="U24" s="38"/>
      <c r="V24" s="28"/>
      <c r="W24" s="28"/>
      <c r="X24" s="28"/>
      <c r="Y24" s="28"/>
      <c r="Z24" s="29"/>
      <c r="AA24" s="28"/>
      <c r="AB24" s="26"/>
      <c r="AC24" s="28"/>
      <c r="AD24" s="30"/>
      <c r="AE24" s="30"/>
      <c r="AF24" s="31"/>
      <c r="AG24" s="30"/>
      <c r="AH24" s="30"/>
      <c r="AI24" s="30"/>
    </row>
    <row r="25" spans="1:35" ht="26.25" customHeight="1" x14ac:dyDescent="0.45">
      <c r="A25" s="19">
        <v>21</v>
      </c>
      <c r="B25" s="20" t="s">
        <v>195</v>
      </c>
      <c r="C25" s="20" t="s">
        <v>196</v>
      </c>
      <c r="D25" s="22" t="s">
        <v>197</v>
      </c>
      <c r="E25" s="20" t="s">
        <v>81</v>
      </c>
      <c r="F25" s="20" t="s">
        <v>198</v>
      </c>
      <c r="G25" s="63">
        <v>43297</v>
      </c>
      <c r="H25" s="24">
        <v>4</v>
      </c>
      <c r="I25" s="32" t="s">
        <v>72</v>
      </c>
      <c r="J25" s="24" t="s">
        <v>73</v>
      </c>
      <c r="K25" s="24" t="s">
        <v>84</v>
      </c>
      <c r="L25" s="35" t="s">
        <v>92</v>
      </c>
      <c r="M25" s="25" t="s">
        <v>106</v>
      </c>
      <c r="N25" s="20" t="str">
        <f>VLOOKUP(O25,'TJ. FUNGSIONAL'!$B$4:$C$34,2,0)</f>
        <v>Wakil Kepala SD</v>
      </c>
      <c r="O25" s="24" t="s">
        <v>189</v>
      </c>
      <c r="P25" s="36"/>
      <c r="Q25" s="37"/>
      <c r="R25" s="37"/>
      <c r="S25" s="38"/>
      <c r="T25" s="38"/>
      <c r="U25" s="38"/>
      <c r="V25" s="28"/>
      <c r="W25" s="28"/>
      <c r="X25" s="28"/>
      <c r="Y25" s="28"/>
      <c r="Z25" s="29"/>
      <c r="AA25" s="28"/>
      <c r="AB25" s="26"/>
      <c r="AC25" s="28"/>
      <c r="AD25" s="30"/>
      <c r="AE25" s="30"/>
      <c r="AF25" s="31"/>
      <c r="AG25" s="30"/>
      <c r="AH25" s="30"/>
      <c r="AI25" s="30"/>
    </row>
    <row r="26" spans="1:35" ht="26.25" customHeight="1" x14ac:dyDescent="0.45">
      <c r="A26" s="19">
        <v>22</v>
      </c>
      <c r="B26" s="20" t="s">
        <v>199</v>
      </c>
      <c r="C26" s="20" t="s">
        <v>200</v>
      </c>
      <c r="D26" s="22" t="s">
        <v>201</v>
      </c>
      <c r="E26" s="20" t="s">
        <v>70</v>
      </c>
      <c r="F26" s="20" t="s">
        <v>202</v>
      </c>
      <c r="G26" s="23" t="s">
        <v>203</v>
      </c>
      <c r="H26" s="24">
        <v>3</v>
      </c>
      <c r="I26" s="32" t="s">
        <v>163</v>
      </c>
      <c r="J26" s="24" t="s">
        <v>73</v>
      </c>
      <c r="K26" s="24" t="s">
        <v>74</v>
      </c>
      <c r="L26" s="35" t="s">
        <v>75</v>
      </c>
      <c r="M26" s="25" t="s">
        <v>204</v>
      </c>
      <c r="N26" s="20" t="str">
        <f>VLOOKUP(O26,'TJ. FUNGSIONAL'!$B$4:$C$34,2,0)</f>
        <v>Wali Kelas RA</v>
      </c>
      <c r="O26" s="24" t="s">
        <v>205</v>
      </c>
      <c r="P26" s="36"/>
      <c r="Q26" s="37"/>
      <c r="R26" s="37"/>
      <c r="S26" s="38"/>
      <c r="T26" s="38"/>
      <c r="U26" s="38"/>
      <c r="V26" s="28"/>
      <c r="W26" s="28"/>
      <c r="X26" s="28"/>
      <c r="Y26" s="28"/>
      <c r="Z26" s="29"/>
      <c r="AA26" s="28"/>
      <c r="AB26" s="26"/>
      <c r="AC26" s="28"/>
      <c r="AD26" s="30"/>
      <c r="AE26" s="30"/>
      <c r="AF26" s="31"/>
      <c r="AG26" s="30"/>
      <c r="AH26" s="30"/>
      <c r="AI26" s="30"/>
    </row>
    <row r="27" spans="1:35" ht="26.25" customHeight="1" x14ac:dyDescent="0.45">
      <c r="A27" s="19">
        <v>23</v>
      </c>
      <c r="B27" s="20" t="s">
        <v>206</v>
      </c>
      <c r="C27" s="20" t="s">
        <v>207</v>
      </c>
      <c r="D27" s="22" t="s">
        <v>208</v>
      </c>
      <c r="E27" s="20" t="s">
        <v>70</v>
      </c>
      <c r="F27" s="20" t="s">
        <v>209</v>
      </c>
      <c r="G27" s="23">
        <v>43346</v>
      </c>
      <c r="H27" s="44">
        <v>3</v>
      </c>
      <c r="I27" s="32" t="s">
        <v>163</v>
      </c>
      <c r="J27" s="24" t="s">
        <v>73</v>
      </c>
      <c r="K27" s="24" t="s">
        <v>74</v>
      </c>
      <c r="L27" s="35" t="s">
        <v>75</v>
      </c>
      <c r="M27" s="25" t="s">
        <v>210</v>
      </c>
      <c r="N27" s="20" t="str">
        <f>VLOOKUP(O27,'TJ. FUNGSIONAL'!$B$4:$C$34,2,0)</f>
        <v>Wakil Kepala RA</v>
      </c>
      <c r="O27" s="24" t="s">
        <v>107</v>
      </c>
      <c r="P27" s="26"/>
      <c r="Q27" s="26"/>
      <c r="R27" s="27"/>
      <c r="S27" s="27"/>
      <c r="T27" s="27"/>
      <c r="U27" s="27"/>
      <c r="V27" s="28"/>
      <c r="W27" s="28"/>
      <c r="X27" s="28"/>
      <c r="Y27" s="28"/>
      <c r="Z27" s="29"/>
      <c r="AA27" s="28"/>
      <c r="AB27" s="24"/>
      <c r="AC27" s="30"/>
      <c r="AD27" s="30"/>
      <c r="AE27" s="30"/>
      <c r="AF27" s="31"/>
      <c r="AG27" s="30"/>
      <c r="AH27" s="30"/>
      <c r="AI27" s="30"/>
    </row>
    <row r="28" spans="1:35" ht="26.25" customHeight="1" x14ac:dyDescent="0.45">
      <c r="A28" s="19">
        <v>24</v>
      </c>
      <c r="B28" s="20" t="s">
        <v>211</v>
      </c>
      <c r="C28" s="20" t="s">
        <v>212</v>
      </c>
      <c r="D28" s="22" t="s">
        <v>213</v>
      </c>
      <c r="E28" s="20" t="s">
        <v>214</v>
      </c>
      <c r="F28" s="20" t="s">
        <v>215</v>
      </c>
      <c r="G28" s="23">
        <v>43600</v>
      </c>
      <c r="H28" s="24">
        <v>2</v>
      </c>
      <c r="I28" s="32" t="s">
        <v>163</v>
      </c>
      <c r="J28" s="24" t="s">
        <v>99</v>
      </c>
      <c r="K28" s="24" t="s">
        <v>74</v>
      </c>
      <c r="L28" s="35" t="s">
        <v>112</v>
      </c>
      <c r="M28" s="25" t="s">
        <v>143</v>
      </c>
      <c r="N28" s="20" t="str">
        <f>VLOOKUP(O28,'TJ. FUNGSIONAL'!$B$4:$C$34,2,0)</f>
        <v>Staf Yayasan</v>
      </c>
      <c r="O28" s="24" t="s">
        <v>216</v>
      </c>
      <c r="P28" s="36"/>
      <c r="Q28" s="37"/>
      <c r="R28" s="38"/>
      <c r="S28" s="38"/>
      <c r="T28" s="38"/>
      <c r="U28" s="38"/>
      <c r="V28" s="28"/>
      <c r="W28" s="28"/>
      <c r="X28" s="28"/>
      <c r="Y28" s="28"/>
      <c r="Z28" s="29"/>
      <c r="AA28" s="28"/>
      <c r="AB28" s="24"/>
      <c r="AC28" s="20"/>
      <c r="AD28" s="30"/>
      <c r="AE28" s="30"/>
      <c r="AF28" s="31"/>
      <c r="AG28" s="30"/>
      <c r="AH28" s="30"/>
      <c r="AI28" s="30"/>
    </row>
    <row r="29" spans="1:35" ht="26.25" customHeight="1" x14ac:dyDescent="0.45">
      <c r="A29" s="19">
        <v>25</v>
      </c>
      <c r="B29" s="20" t="s">
        <v>217</v>
      </c>
      <c r="C29" s="20" t="s">
        <v>218</v>
      </c>
      <c r="D29" s="22" t="s">
        <v>219</v>
      </c>
      <c r="E29" s="20" t="s">
        <v>81</v>
      </c>
      <c r="F29" s="20" t="s">
        <v>220</v>
      </c>
      <c r="G29" s="23" t="s">
        <v>221</v>
      </c>
      <c r="H29" s="24">
        <v>2</v>
      </c>
      <c r="I29" s="24" t="s">
        <v>163</v>
      </c>
      <c r="J29" s="24" t="s">
        <v>73</v>
      </c>
      <c r="K29" s="24" t="s">
        <v>84</v>
      </c>
      <c r="L29" s="35" t="s">
        <v>92</v>
      </c>
      <c r="M29" s="62" t="s">
        <v>143</v>
      </c>
      <c r="N29" s="20" t="str">
        <f>VLOOKUP(O29,'TJ. FUNGSIONAL'!$B$4:$C$34,2,0)</f>
        <v>Wakil Kepala SD</v>
      </c>
      <c r="O29" s="24" t="s">
        <v>189</v>
      </c>
      <c r="P29" s="36"/>
      <c r="Q29" s="37"/>
      <c r="R29" s="37"/>
      <c r="S29" s="38"/>
      <c r="T29" s="38"/>
      <c r="U29" s="38"/>
      <c r="V29" s="28"/>
      <c r="W29" s="26"/>
      <c r="X29" s="20"/>
      <c r="Y29" s="28"/>
      <c r="Z29" s="26"/>
      <c r="AA29" s="26"/>
      <c r="AB29" s="26"/>
      <c r="AC29" s="26"/>
      <c r="AD29" s="30"/>
      <c r="AE29" s="30"/>
      <c r="AF29" s="31"/>
      <c r="AG29" s="30"/>
      <c r="AH29" s="30"/>
      <c r="AI29" s="30"/>
    </row>
    <row r="30" spans="1:35" ht="26.25" customHeight="1" x14ac:dyDescent="0.45">
      <c r="A30" s="19">
        <v>26</v>
      </c>
      <c r="B30" s="20" t="s">
        <v>222</v>
      </c>
      <c r="C30" s="64" t="s">
        <v>223</v>
      </c>
      <c r="D30" s="22" t="s">
        <v>224</v>
      </c>
      <c r="E30" s="20" t="s">
        <v>81</v>
      </c>
      <c r="F30" s="20" t="s">
        <v>225</v>
      </c>
      <c r="G30" s="23" t="s">
        <v>221</v>
      </c>
      <c r="H30" s="24">
        <v>2</v>
      </c>
      <c r="I30" s="24" t="s">
        <v>163</v>
      </c>
      <c r="J30" s="24" t="s">
        <v>73</v>
      </c>
      <c r="K30" s="24" t="s">
        <v>84</v>
      </c>
      <c r="L30" s="35" t="s">
        <v>112</v>
      </c>
      <c r="M30" s="62" t="s">
        <v>113</v>
      </c>
      <c r="N30" s="20" t="str">
        <f>VLOOKUP(O30,'TJ. FUNGSIONAL'!$B$4:$C$34,2,0)</f>
        <v>Guru Mapel SD</v>
      </c>
      <c r="O30" s="24" t="s">
        <v>226</v>
      </c>
      <c r="P30" s="36"/>
      <c r="Q30" s="37"/>
      <c r="R30" s="37"/>
      <c r="S30" s="38"/>
      <c r="T30" s="38"/>
      <c r="U30" s="38"/>
      <c r="V30" s="28"/>
      <c r="W30" s="26"/>
      <c r="X30" s="20"/>
      <c r="Y30" s="28"/>
      <c r="Z30" s="26"/>
      <c r="AA30" s="26"/>
      <c r="AB30" s="26"/>
      <c r="AC30" s="26"/>
      <c r="AD30" s="30"/>
      <c r="AE30" s="30"/>
      <c r="AF30" s="31"/>
      <c r="AG30" s="30"/>
      <c r="AH30" s="30"/>
      <c r="AI30" s="30"/>
    </row>
    <row r="31" spans="1:35" ht="26.25" customHeight="1" x14ac:dyDescent="0.45">
      <c r="A31" s="19">
        <v>27</v>
      </c>
      <c r="B31" s="20" t="s">
        <v>227</v>
      </c>
      <c r="C31" s="64" t="s">
        <v>228</v>
      </c>
      <c r="D31" s="22" t="s">
        <v>229</v>
      </c>
      <c r="E31" s="20" t="s">
        <v>81</v>
      </c>
      <c r="F31" s="20" t="s">
        <v>230</v>
      </c>
      <c r="G31" s="23" t="s">
        <v>221</v>
      </c>
      <c r="H31" s="24">
        <v>2</v>
      </c>
      <c r="I31" s="24" t="s">
        <v>163</v>
      </c>
      <c r="J31" s="24" t="s">
        <v>73</v>
      </c>
      <c r="K31" s="24" t="s">
        <v>231</v>
      </c>
      <c r="L31" s="35" t="s">
        <v>92</v>
      </c>
      <c r="M31" s="62" t="s">
        <v>93</v>
      </c>
      <c r="N31" s="20" t="str">
        <f>VLOOKUP(O31,'TJ. FUNGSIONAL'!$B$4:$C$34,2,0)</f>
        <v>Wakil Kepala SD</v>
      </c>
      <c r="O31" s="24" t="s">
        <v>232</v>
      </c>
      <c r="P31" s="36"/>
      <c r="Q31" s="37"/>
      <c r="R31" s="37"/>
      <c r="S31" s="38"/>
      <c r="T31" s="38"/>
      <c r="U31" s="38"/>
      <c r="V31" s="28"/>
      <c r="W31" s="26"/>
      <c r="X31" s="20"/>
      <c r="Y31" s="28"/>
      <c r="Z31" s="26"/>
      <c r="AA31" s="26"/>
      <c r="AB31" s="26"/>
      <c r="AC31" s="26"/>
      <c r="AD31" s="30"/>
      <c r="AE31" s="30"/>
      <c r="AF31" s="31"/>
      <c r="AG31" s="30"/>
      <c r="AH31" s="30"/>
      <c r="AI31" s="30"/>
    </row>
    <row r="32" spans="1:35" s="65" customFormat="1" ht="26.25" customHeight="1" x14ac:dyDescent="0.45">
      <c r="A32" s="19">
        <v>28</v>
      </c>
      <c r="B32" s="66" t="s">
        <v>233</v>
      </c>
      <c r="C32" s="66" t="s">
        <v>234</v>
      </c>
      <c r="D32" s="67" t="s">
        <v>235</v>
      </c>
      <c r="E32" s="66" t="s">
        <v>81</v>
      </c>
      <c r="F32" s="66" t="s">
        <v>236</v>
      </c>
      <c r="G32" s="68" t="s">
        <v>237</v>
      </c>
      <c r="H32" s="69">
        <v>2</v>
      </c>
      <c r="I32" s="69" t="s">
        <v>163</v>
      </c>
      <c r="J32" s="69" t="s">
        <v>119</v>
      </c>
      <c r="K32" s="69" t="s">
        <v>74</v>
      </c>
      <c r="L32" s="70" t="s">
        <v>75</v>
      </c>
      <c r="M32" s="71" t="s">
        <v>238</v>
      </c>
      <c r="N32" s="66" t="str">
        <f>VLOOKUP(O32,'TJ. FUNGSIONAL'!$B$4:$C$34,2,0)</f>
        <v>Petugas Keamanan</v>
      </c>
      <c r="O32" s="69" t="s">
        <v>171</v>
      </c>
      <c r="P32" s="72"/>
      <c r="Q32" s="73"/>
      <c r="R32" s="73"/>
      <c r="S32" s="74"/>
      <c r="T32" s="74"/>
      <c r="U32" s="74"/>
      <c r="V32" s="75"/>
      <c r="W32" s="76"/>
      <c r="X32" s="66"/>
      <c r="Y32" s="75"/>
      <c r="Z32" s="76"/>
      <c r="AA32" s="76"/>
      <c r="AB32" s="76"/>
      <c r="AC32" s="76"/>
      <c r="AD32" s="77"/>
      <c r="AE32" s="77"/>
      <c r="AF32" s="78"/>
      <c r="AG32" s="77"/>
      <c r="AH32" s="77"/>
      <c r="AI32" s="77"/>
    </row>
    <row r="33" spans="1:35" s="65" customFormat="1" ht="26.25" customHeight="1" x14ac:dyDescent="0.45">
      <c r="A33" s="19">
        <v>29</v>
      </c>
      <c r="B33" s="66" t="s">
        <v>239</v>
      </c>
      <c r="C33" s="66" t="s">
        <v>240</v>
      </c>
      <c r="D33" s="67" t="s">
        <v>241</v>
      </c>
      <c r="E33" s="66" t="s">
        <v>81</v>
      </c>
      <c r="F33" s="66" t="s">
        <v>242</v>
      </c>
      <c r="G33" s="68">
        <v>43780</v>
      </c>
      <c r="H33" s="69">
        <v>2</v>
      </c>
      <c r="I33" s="69" t="s">
        <v>163</v>
      </c>
      <c r="J33" s="69" t="s">
        <v>73</v>
      </c>
      <c r="K33" s="69" t="s">
        <v>84</v>
      </c>
      <c r="L33" s="70" t="s">
        <v>112</v>
      </c>
      <c r="M33" s="71" t="s">
        <v>113</v>
      </c>
      <c r="N33" s="66" t="str">
        <f>VLOOKUP(O33,'TJ. FUNGSIONAL'!$B$4:$C$34,2,0)</f>
        <v>Wali Kelas SD</v>
      </c>
      <c r="O33" s="69" t="s">
        <v>158</v>
      </c>
      <c r="P33" s="72"/>
      <c r="Q33" s="73"/>
      <c r="R33" s="73"/>
      <c r="S33" s="74"/>
      <c r="T33" s="74"/>
      <c r="U33" s="74"/>
      <c r="V33" s="75"/>
      <c r="W33" s="76"/>
      <c r="X33" s="66"/>
      <c r="Y33" s="75"/>
      <c r="Z33" s="76"/>
      <c r="AA33" s="76"/>
      <c r="AB33" s="76"/>
      <c r="AC33" s="76"/>
      <c r="AD33" s="77"/>
      <c r="AE33" s="77"/>
      <c r="AF33" s="78"/>
      <c r="AG33" s="77"/>
      <c r="AH33" s="77"/>
      <c r="AI33" s="77"/>
    </row>
    <row r="34" spans="1:35" s="65" customFormat="1" ht="25.25" customHeight="1" x14ac:dyDescent="0.45">
      <c r="A34" s="19">
        <v>30</v>
      </c>
      <c r="B34" s="66" t="s">
        <v>243</v>
      </c>
      <c r="C34" s="66" t="s">
        <v>244</v>
      </c>
      <c r="D34" s="67" t="s">
        <v>245</v>
      </c>
      <c r="E34" s="66" t="s">
        <v>81</v>
      </c>
      <c r="F34" s="79" t="s">
        <v>246</v>
      </c>
      <c r="G34" s="68" t="s">
        <v>247</v>
      </c>
      <c r="H34" s="69">
        <v>2</v>
      </c>
      <c r="I34" s="69" t="s">
        <v>163</v>
      </c>
      <c r="J34" s="69" t="s">
        <v>105</v>
      </c>
      <c r="K34" s="69" t="s">
        <v>74</v>
      </c>
      <c r="L34" s="70" t="s">
        <v>75</v>
      </c>
      <c r="M34" s="80" t="s">
        <v>210</v>
      </c>
      <c r="N34" s="66" t="str">
        <f>VLOOKUP(O34,'TJ. FUNGSIONAL'!$B$4:$C$34,2,0)</f>
        <v>Petugas Keamanan</v>
      </c>
      <c r="O34" s="69" t="s">
        <v>171</v>
      </c>
      <c r="P34" s="72"/>
      <c r="Q34" s="73"/>
      <c r="R34" s="73"/>
      <c r="S34" s="74"/>
      <c r="T34" s="74"/>
      <c r="U34" s="74"/>
      <c r="V34" s="75"/>
      <c r="W34" s="76"/>
      <c r="X34" s="66"/>
      <c r="Y34" s="75"/>
      <c r="Z34" s="81"/>
      <c r="AA34" s="76"/>
      <c r="AB34" s="76"/>
      <c r="AC34" s="76"/>
      <c r="AD34" s="77"/>
      <c r="AE34" s="77"/>
      <c r="AF34" s="78"/>
      <c r="AG34" s="77"/>
      <c r="AH34" s="77"/>
      <c r="AI34" s="77"/>
    </row>
    <row r="35" spans="1:35" ht="25.25" customHeight="1" x14ac:dyDescent="0.45">
      <c r="A35" s="19">
        <v>31</v>
      </c>
      <c r="B35" s="20" t="s">
        <v>248</v>
      </c>
      <c r="C35" s="64" t="s">
        <v>249</v>
      </c>
      <c r="D35" s="22" t="s">
        <v>250</v>
      </c>
      <c r="E35" s="20" t="s">
        <v>81</v>
      </c>
      <c r="F35" s="20" t="s">
        <v>251</v>
      </c>
      <c r="G35" s="23" t="s">
        <v>252</v>
      </c>
      <c r="H35" s="24">
        <v>2</v>
      </c>
      <c r="I35" s="24" t="s">
        <v>163</v>
      </c>
      <c r="J35" s="24" t="s">
        <v>105</v>
      </c>
      <c r="K35" s="24" t="s">
        <v>84</v>
      </c>
      <c r="L35" s="35" t="s">
        <v>112</v>
      </c>
      <c r="M35" s="25" t="s">
        <v>113</v>
      </c>
      <c r="N35" s="20" t="str">
        <f>VLOOKUP(O35,'TJ. FUNGSIONAL'!$B$4:$C$34,2,0)</f>
        <v>Wali Kelas SD</v>
      </c>
      <c r="O35" s="24" t="s">
        <v>158</v>
      </c>
      <c r="P35" s="36"/>
      <c r="Q35" s="37"/>
      <c r="R35" s="37"/>
      <c r="S35" s="38"/>
      <c r="T35" s="38"/>
      <c r="U35" s="38"/>
      <c r="V35" s="28"/>
      <c r="W35" s="26"/>
      <c r="X35" s="20"/>
      <c r="Y35" s="28"/>
      <c r="Z35" s="26"/>
      <c r="AA35" s="26"/>
      <c r="AB35" s="26"/>
      <c r="AC35" s="26"/>
      <c r="AD35" s="30"/>
      <c r="AE35" s="30"/>
      <c r="AF35" s="31"/>
      <c r="AG35" s="30"/>
      <c r="AH35" s="30"/>
      <c r="AI35" s="30"/>
    </row>
    <row r="36" spans="1:35" ht="25.25" customHeight="1" x14ac:dyDescent="0.45">
      <c r="A36" s="19">
        <v>32</v>
      </c>
      <c r="B36" s="20" t="s">
        <v>253</v>
      </c>
      <c r="C36" s="82" t="s">
        <v>254</v>
      </c>
      <c r="D36" s="40" t="s">
        <v>255</v>
      </c>
      <c r="E36" s="42" t="s">
        <v>81</v>
      </c>
      <c r="F36" s="20" t="s">
        <v>256</v>
      </c>
      <c r="G36" s="43" t="s">
        <v>252</v>
      </c>
      <c r="H36" s="44">
        <v>2</v>
      </c>
      <c r="I36" s="44" t="s">
        <v>163</v>
      </c>
      <c r="J36" s="44" t="s">
        <v>176</v>
      </c>
      <c r="K36" s="44" t="s">
        <v>231</v>
      </c>
      <c r="L36" s="45" t="s">
        <v>92</v>
      </c>
      <c r="M36" s="46" t="s">
        <v>257</v>
      </c>
      <c r="N36" s="20" t="str">
        <f>VLOOKUP(O36,'TJ. FUNGSIONAL'!$B$4:$C$34,2,0)</f>
        <v>Guru Mapel SD</v>
      </c>
      <c r="O36" s="44" t="s">
        <v>226</v>
      </c>
      <c r="P36" s="36"/>
      <c r="Q36" s="37"/>
      <c r="R36" s="37"/>
      <c r="S36" s="47"/>
      <c r="T36" s="47"/>
      <c r="U36" s="47"/>
      <c r="V36" s="28"/>
      <c r="W36" s="26"/>
      <c r="X36" s="20"/>
      <c r="Y36" s="28"/>
      <c r="Z36" s="49"/>
      <c r="AA36" s="26"/>
      <c r="AB36" s="49"/>
      <c r="AC36" s="49"/>
      <c r="AD36" s="51"/>
      <c r="AE36" s="51"/>
      <c r="AF36" s="31"/>
      <c r="AG36" s="30"/>
      <c r="AH36" s="30"/>
      <c r="AI36" s="30"/>
    </row>
    <row r="37" spans="1:35" ht="25.25" customHeight="1" x14ac:dyDescent="0.45">
      <c r="A37" s="19">
        <v>33</v>
      </c>
      <c r="B37" s="20" t="s">
        <v>258</v>
      </c>
      <c r="C37" s="57" t="s">
        <v>259</v>
      </c>
      <c r="D37" s="22" t="s">
        <v>260</v>
      </c>
      <c r="E37" s="20" t="s">
        <v>81</v>
      </c>
      <c r="F37" s="20" t="s">
        <v>261</v>
      </c>
      <c r="G37" s="23" t="s">
        <v>262</v>
      </c>
      <c r="H37" s="24">
        <v>2</v>
      </c>
      <c r="I37" s="24" t="s">
        <v>163</v>
      </c>
      <c r="J37" s="24" t="s">
        <v>176</v>
      </c>
      <c r="K37" s="24" t="s">
        <v>84</v>
      </c>
      <c r="L37" s="35" t="s">
        <v>112</v>
      </c>
      <c r="M37" s="25" t="s">
        <v>263</v>
      </c>
      <c r="N37" s="20" t="str">
        <f>VLOOKUP(O37,'TJ. FUNGSIONAL'!$B$4:$C$34,2,0)</f>
        <v>Wali Kelas SD</v>
      </c>
      <c r="O37" s="24" t="s">
        <v>158</v>
      </c>
      <c r="P37" s="36"/>
      <c r="Q37" s="37"/>
      <c r="R37" s="37"/>
      <c r="S37" s="47"/>
      <c r="T37" s="47"/>
      <c r="U37" s="47"/>
      <c r="V37" s="28"/>
      <c r="W37" s="26"/>
      <c r="X37" s="20"/>
      <c r="Y37" s="28"/>
      <c r="Z37" s="49"/>
      <c r="AA37" s="26"/>
      <c r="AB37" s="49"/>
      <c r="AC37" s="49"/>
      <c r="AD37" s="51"/>
      <c r="AE37" s="51"/>
      <c r="AF37" s="31"/>
      <c r="AG37" s="30"/>
      <c r="AH37" s="30"/>
      <c r="AI37" s="30"/>
    </row>
    <row r="38" spans="1:35" ht="25.25" customHeight="1" x14ac:dyDescent="0.45">
      <c r="A38" s="19">
        <v>34</v>
      </c>
      <c r="B38" s="20" t="s">
        <v>264</v>
      </c>
      <c r="C38" s="57" t="s">
        <v>265</v>
      </c>
      <c r="D38" s="22" t="s">
        <v>266</v>
      </c>
      <c r="E38" s="20" t="s">
        <v>81</v>
      </c>
      <c r="F38" s="20" t="s">
        <v>267</v>
      </c>
      <c r="G38" s="23" t="s">
        <v>268</v>
      </c>
      <c r="H38" s="24">
        <v>2</v>
      </c>
      <c r="I38" s="24" t="s">
        <v>163</v>
      </c>
      <c r="J38" s="24" t="s">
        <v>73</v>
      </c>
      <c r="K38" s="24" t="s">
        <v>84</v>
      </c>
      <c r="L38" s="35" t="s">
        <v>112</v>
      </c>
      <c r="M38" s="25" t="s">
        <v>143</v>
      </c>
      <c r="N38" s="20" t="str">
        <f>VLOOKUP(O38,'TJ. FUNGSIONAL'!$B$4:$C$34,2,0)</f>
        <v>Wakil Kepala SD</v>
      </c>
      <c r="O38" s="24" t="s">
        <v>232</v>
      </c>
      <c r="P38" s="36"/>
      <c r="Q38" s="37"/>
      <c r="R38" s="37"/>
      <c r="S38" s="38"/>
      <c r="T38" s="38"/>
      <c r="U38" s="38"/>
      <c r="V38" s="28"/>
      <c r="W38" s="26"/>
      <c r="X38" s="20"/>
      <c r="Y38" s="28"/>
      <c r="Z38" s="59"/>
      <c r="AA38" s="26"/>
      <c r="AB38" s="26"/>
      <c r="AC38" s="26"/>
      <c r="AD38" s="30"/>
      <c r="AE38" s="30"/>
      <c r="AF38" s="31"/>
      <c r="AG38" s="30"/>
      <c r="AH38" s="30"/>
      <c r="AI38" s="30"/>
    </row>
    <row r="39" spans="1:35" s="65" customFormat="1" ht="23" customHeight="1" x14ac:dyDescent="0.45">
      <c r="A39" s="19">
        <v>35</v>
      </c>
      <c r="B39" s="66" t="s">
        <v>269</v>
      </c>
      <c r="C39" s="66" t="s">
        <v>270</v>
      </c>
      <c r="D39" s="67" t="s">
        <v>271</v>
      </c>
      <c r="E39" s="66" t="s">
        <v>130</v>
      </c>
      <c r="F39" s="66" t="s">
        <v>272</v>
      </c>
      <c r="G39" s="83" t="s">
        <v>273</v>
      </c>
      <c r="H39" s="69">
        <v>2</v>
      </c>
      <c r="I39" s="69" t="s">
        <v>163</v>
      </c>
      <c r="J39" s="69" t="s">
        <v>176</v>
      </c>
      <c r="K39" s="69" t="s">
        <v>274</v>
      </c>
      <c r="L39" s="70" t="s">
        <v>112</v>
      </c>
      <c r="M39" s="71" t="s">
        <v>263</v>
      </c>
      <c r="N39" s="66" t="str">
        <f>VLOOKUP(O39,'TJ. FUNGSIONAL'!$B$4:$C$34,2,0)</f>
        <v>Guru Quran SMP</v>
      </c>
      <c r="O39" s="69" t="s">
        <v>275</v>
      </c>
      <c r="P39" s="72"/>
      <c r="Q39" s="73"/>
      <c r="R39" s="73"/>
      <c r="S39" s="74"/>
      <c r="T39" s="74"/>
      <c r="U39" s="74"/>
      <c r="V39" s="75"/>
      <c r="W39" s="75"/>
      <c r="X39" s="66"/>
      <c r="Y39" s="75"/>
      <c r="Z39" s="84"/>
      <c r="AA39" s="75"/>
      <c r="AB39" s="76"/>
      <c r="AC39" s="75"/>
      <c r="AD39" s="77"/>
      <c r="AE39" s="77"/>
      <c r="AF39" s="78"/>
      <c r="AG39" s="77"/>
      <c r="AH39" s="77"/>
      <c r="AI39" s="77"/>
    </row>
    <row r="40" spans="1:35" ht="23" customHeight="1" x14ac:dyDescent="0.45">
      <c r="A40" s="19">
        <v>36</v>
      </c>
      <c r="B40" s="20" t="s">
        <v>276</v>
      </c>
      <c r="C40" s="20" t="s">
        <v>277</v>
      </c>
      <c r="D40" s="22" t="s">
        <v>278</v>
      </c>
      <c r="E40" s="20" t="s">
        <v>81</v>
      </c>
      <c r="F40" s="20" t="s">
        <v>279</v>
      </c>
      <c r="G40" s="23" t="s">
        <v>280</v>
      </c>
      <c r="H40" s="24">
        <v>1</v>
      </c>
      <c r="I40" s="24" t="s">
        <v>163</v>
      </c>
      <c r="J40" s="24" t="s">
        <v>73</v>
      </c>
      <c r="K40" s="24" t="s">
        <v>281</v>
      </c>
      <c r="L40" s="35" t="s">
        <v>112</v>
      </c>
      <c r="M40" s="25" t="s">
        <v>194</v>
      </c>
      <c r="N40" s="20" t="str">
        <f>VLOOKUP(O40,'TJ. FUNGSIONAL'!$B$4:$C$34,2,0)</f>
        <v>Guru Quran SD</v>
      </c>
      <c r="O40" s="24" t="s">
        <v>177</v>
      </c>
      <c r="P40" s="36"/>
      <c r="Q40" s="37"/>
      <c r="R40" s="37"/>
      <c r="S40" s="38"/>
      <c r="T40" s="38"/>
      <c r="U40" s="38"/>
      <c r="V40" s="28"/>
      <c r="W40" s="20"/>
      <c r="X40" s="20"/>
      <c r="Y40" s="20"/>
      <c r="Z40" s="20"/>
      <c r="AA40" s="20"/>
      <c r="AB40" s="26"/>
      <c r="AC40" s="20"/>
      <c r="AD40" s="20"/>
      <c r="AE40" s="20"/>
      <c r="AF40" s="85"/>
      <c r="AG40" s="20"/>
      <c r="AH40" s="20"/>
      <c r="AI40" s="20"/>
    </row>
    <row r="41" spans="1:35" s="65" customFormat="1" ht="26.25" customHeight="1" x14ac:dyDescent="0.45">
      <c r="A41" s="19">
        <v>37</v>
      </c>
      <c r="B41" s="66" t="s">
        <v>282</v>
      </c>
      <c r="C41" s="86" t="s">
        <v>283</v>
      </c>
      <c r="D41" s="87" t="s">
        <v>284</v>
      </c>
      <c r="E41" s="86" t="s">
        <v>81</v>
      </c>
      <c r="F41" s="79" t="s">
        <v>285</v>
      </c>
      <c r="G41" s="88" t="s">
        <v>286</v>
      </c>
      <c r="H41" s="89">
        <v>1</v>
      </c>
      <c r="I41" s="89" t="s">
        <v>163</v>
      </c>
      <c r="J41" s="89" t="s">
        <v>73</v>
      </c>
      <c r="K41" s="89" t="s">
        <v>74</v>
      </c>
      <c r="L41" s="90" t="s">
        <v>75</v>
      </c>
      <c r="M41" s="91" t="s">
        <v>210</v>
      </c>
      <c r="N41" s="66" t="str">
        <f>VLOOKUP(O41,'TJ. FUNGSIONAL'!$B$4:$C$34,2,0)</f>
        <v>Guru Quran SD</v>
      </c>
      <c r="O41" s="89" t="s">
        <v>177</v>
      </c>
      <c r="P41" s="72"/>
      <c r="Q41" s="73"/>
      <c r="R41" s="73"/>
      <c r="S41" s="92"/>
      <c r="T41" s="92"/>
      <c r="U41" s="92"/>
      <c r="V41" s="66"/>
      <c r="W41" s="66"/>
      <c r="X41" s="66"/>
      <c r="Y41" s="66"/>
      <c r="Z41" s="79"/>
      <c r="AA41" s="66"/>
      <c r="AB41" s="79"/>
      <c r="AC41" s="79"/>
      <c r="AD41" s="79"/>
      <c r="AE41" s="79"/>
      <c r="AF41" s="93"/>
      <c r="AG41" s="66"/>
      <c r="AH41" s="66"/>
      <c r="AI41" s="66"/>
    </row>
    <row r="42" spans="1:35" s="94" customFormat="1" ht="26.25" customHeight="1" x14ac:dyDescent="0.45">
      <c r="A42" s="19">
        <v>38</v>
      </c>
      <c r="B42" s="66" t="s">
        <v>287</v>
      </c>
      <c r="C42" s="95" t="s">
        <v>288</v>
      </c>
      <c r="D42" s="67" t="s">
        <v>289</v>
      </c>
      <c r="E42" s="95" t="s">
        <v>81</v>
      </c>
      <c r="F42" s="66" t="s">
        <v>290</v>
      </c>
      <c r="G42" s="88" t="s">
        <v>286</v>
      </c>
      <c r="H42" s="69">
        <v>1</v>
      </c>
      <c r="I42" s="69" t="s">
        <v>163</v>
      </c>
      <c r="J42" s="69" t="s">
        <v>73</v>
      </c>
      <c r="K42" s="69" t="s">
        <v>74</v>
      </c>
      <c r="L42" s="70" t="s">
        <v>75</v>
      </c>
      <c r="M42" s="71" t="s">
        <v>210</v>
      </c>
      <c r="N42" s="66" t="str">
        <f>VLOOKUP(O42,'TJ. FUNGSIONAL'!$B$4:$C$34,2,0)</f>
        <v>Guru Quran SD</v>
      </c>
      <c r="O42" s="69" t="s">
        <v>177</v>
      </c>
      <c r="P42" s="72"/>
      <c r="Q42" s="73"/>
      <c r="R42" s="73"/>
      <c r="S42" s="92"/>
      <c r="T42" s="92"/>
      <c r="U42" s="92"/>
      <c r="V42" s="66"/>
      <c r="W42" s="66"/>
      <c r="X42" s="66"/>
      <c r="Y42" s="66"/>
      <c r="Z42" s="79"/>
      <c r="AA42" s="66"/>
      <c r="AB42" s="79"/>
      <c r="AC42" s="79"/>
      <c r="AD42" s="79"/>
      <c r="AE42" s="79"/>
      <c r="AF42" s="93"/>
      <c r="AG42" s="66"/>
      <c r="AH42" s="66"/>
      <c r="AI42" s="66"/>
    </row>
    <row r="43" spans="1:35" ht="26.25" customHeight="1" x14ac:dyDescent="0.45">
      <c r="A43" s="19">
        <v>39</v>
      </c>
      <c r="B43" s="20" t="s">
        <v>291</v>
      </c>
      <c r="C43" s="20" t="s">
        <v>292</v>
      </c>
      <c r="D43" s="22" t="s">
        <v>293</v>
      </c>
      <c r="E43" s="20" t="s">
        <v>81</v>
      </c>
      <c r="F43" s="20" t="s">
        <v>294</v>
      </c>
      <c r="G43" s="43" t="s">
        <v>286</v>
      </c>
      <c r="H43" s="24">
        <v>1</v>
      </c>
      <c r="I43" s="32" t="s">
        <v>163</v>
      </c>
      <c r="J43" s="24" t="s">
        <v>73</v>
      </c>
      <c r="K43" s="24" t="s">
        <v>84</v>
      </c>
      <c r="L43" s="35" t="s">
        <v>112</v>
      </c>
      <c r="M43" s="25" t="s">
        <v>143</v>
      </c>
      <c r="N43" s="20" t="str">
        <f>VLOOKUP(O43,'TJ. FUNGSIONAL'!$B$4:$C$34,2,0)</f>
        <v>Guru Mapel SD</v>
      </c>
      <c r="O43" s="24" t="s">
        <v>226</v>
      </c>
      <c r="P43" s="36"/>
      <c r="Q43" s="37"/>
      <c r="R43" s="37"/>
      <c r="S43" s="96"/>
      <c r="T43" s="96"/>
      <c r="U43" s="96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85"/>
      <c r="AG43" s="20"/>
      <c r="AH43" s="20"/>
      <c r="AI43" s="20"/>
    </row>
    <row r="44" spans="1:35" ht="26.25" customHeight="1" x14ac:dyDescent="0.45">
      <c r="A44" s="19">
        <v>40</v>
      </c>
      <c r="B44" s="20" t="s">
        <v>295</v>
      </c>
      <c r="C44" s="21" t="s">
        <v>296</v>
      </c>
      <c r="D44" s="22" t="s">
        <v>297</v>
      </c>
      <c r="E44" s="21" t="s">
        <v>81</v>
      </c>
      <c r="F44" s="21" t="s">
        <v>298</v>
      </c>
      <c r="G44" s="43" t="s">
        <v>286</v>
      </c>
      <c r="H44" s="24">
        <v>1</v>
      </c>
      <c r="I44" s="32" t="s">
        <v>163</v>
      </c>
      <c r="J44" s="24" t="s">
        <v>105</v>
      </c>
      <c r="K44" s="32" t="s">
        <v>84</v>
      </c>
      <c r="L44" s="35" t="s">
        <v>112</v>
      </c>
      <c r="M44" s="25" t="s">
        <v>143</v>
      </c>
      <c r="N44" s="20" t="str">
        <f>VLOOKUP(O44,'TJ. FUNGSIONAL'!$B$4:$C$34,2,0)</f>
        <v>Guru Quran SD</v>
      </c>
      <c r="O44" s="24" t="s">
        <v>177</v>
      </c>
      <c r="P44" s="36"/>
      <c r="Q44" s="37"/>
      <c r="R44" s="96"/>
      <c r="S44" s="96"/>
      <c r="T44" s="96"/>
      <c r="U44" s="96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85"/>
      <c r="AG44" s="20"/>
      <c r="AH44" s="20"/>
      <c r="AI44" s="20"/>
    </row>
    <row r="45" spans="1:35" s="65" customFormat="1" ht="26.25" customHeight="1" x14ac:dyDescent="0.45">
      <c r="A45" s="19">
        <v>41</v>
      </c>
      <c r="B45" s="66" t="s">
        <v>299</v>
      </c>
      <c r="C45" s="66" t="s">
        <v>300</v>
      </c>
      <c r="D45" s="67" t="s">
        <v>301</v>
      </c>
      <c r="E45" s="67" t="s">
        <v>130</v>
      </c>
      <c r="F45" s="66" t="s">
        <v>302</v>
      </c>
      <c r="G45" s="68">
        <v>44457</v>
      </c>
      <c r="H45" s="69">
        <v>0</v>
      </c>
      <c r="I45" s="69" t="s">
        <v>163</v>
      </c>
      <c r="J45" s="69" t="s">
        <v>73</v>
      </c>
      <c r="K45" s="69" t="s">
        <v>274</v>
      </c>
      <c r="L45" s="70" t="s">
        <v>112</v>
      </c>
      <c r="M45" s="71" t="s">
        <v>143</v>
      </c>
      <c r="N45" s="66" t="str">
        <f>VLOOKUP(O45,'TJ. FUNGSIONAL'!$B$4:$C$34,2,0)</f>
        <v>Guru Mapel SMP</v>
      </c>
      <c r="O45" s="69" t="s">
        <v>303</v>
      </c>
      <c r="P45" s="66"/>
      <c r="Q45" s="66"/>
      <c r="R45" s="97"/>
      <c r="S45" s="97"/>
      <c r="T45" s="97"/>
      <c r="U45" s="97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93"/>
      <c r="AG45" s="66"/>
      <c r="AH45" s="66"/>
      <c r="AI45" s="66"/>
    </row>
    <row r="46" spans="1:35" ht="26.25" customHeight="1" x14ac:dyDescent="0.45">
      <c r="A46" s="19">
        <v>42</v>
      </c>
      <c r="B46" s="20" t="s">
        <v>304</v>
      </c>
      <c r="C46" s="57" t="s">
        <v>305</v>
      </c>
      <c r="D46" s="22" t="s">
        <v>306</v>
      </c>
      <c r="E46" s="20" t="s">
        <v>81</v>
      </c>
      <c r="F46" s="20" t="s">
        <v>307</v>
      </c>
      <c r="G46" s="23">
        <v>44508</v>
      </c>
      <c r="H46" s="24">
        <v>0</v>
      </c>
      <c r="I46" s="24" t="s">
        <v>163</v>
      </c>
      <c r="J46" s="24" t="s">
        <v>73</v>
      </c>
      <c r="K46" s="24" t="s">
        <v>74</v>
      </c>
      <c r="L46" s="35" t="s">
        <v>75</v>
      </c>
      <c r="M46" s="25" t="s">
        <v>210</v>
      </c>
      <c r="N46" s="20" t="str">
        <f>VLOOKUP(O46,'TJ. FUNGSIONAL'!$B$4:$C$34,2,0)</f>
        <v>Guru Quran SD</v>
      </c>
      <c r="O46" s="24" t="s">
        <v>177</v>
      </c>
      <c r="P46" s="20"/>
      <c r="Q46" s="20"/>
      <c r="R46" s="96"/>
      <c r="S46" s="96"/>
      <c r="T46" s="96"/>
      <c r="U46" s="96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85"/>
      <c r="AG46" s="20"/>
      <c r="AH46" s="20"/>
      <c r="AI46" s="20"/>
    </row>
    <row r="47" spans="1:35" s="65" customFormat="1" ht="26.25" customHeight="1" x14ac:dyDescent="0.45">
      <c r="A47" s="19">
        <v>43</v>
      </c>
      <c r="B47" s="66" t="s">
        <v>308</v>
      </c>
      <c r="C47" s="98" t="s">
        <v>309</v>
      </c>
      <c r="D47" s="67" t="s">
        <v>310</v>
      </c>
      <c r="E47" s="66" t="s">
        <v>81</v>
      </c>
      <c r="F47" s="66" t="s">
        <v>311</v>
      </c>
      <c r="G47" s="68">
        <v>44508</v>
      </c>
      <c r="H47" s="69">
        <v>0</v>
      </c>
      <c r="I47" s="69" t="s">
        <v>163</v>
      </c>
      <c r="J47" s="69" t="s">
        <v>73</v>
      </c>
      <c r="K47" s="69" t="s">
        <v>74</v>
      </c>
      <c r="L47" s="70" t="s">
        <v>75</v>
      </c>
      <c r="M47" s="71" t="s">
        <v>210</v>
      </c>
      <c r="N47" s="66" t="str">
        <f>VLOOKUP(O47,'TJ. FUNGSIONAL'!$B$4:$C$34,2,0)</f>
        <v>Guru Quran SD</v>
      </c>
      <c r="O47" s="69" t="s">
        <v>177</v>
      </c>
      <c r="P47" s="66"/>
      <c r="Q47" s="66"/>
      <c r="R47" s="97"/>
      <c r="S47" s="97"/>
      <c r="T47" s="97"/>
      <c r="U47" s="97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93"/>
      <c r="AG47" s="66"/>
      <c r="AH47" s="66"/>
      <c r="AI47" s="66"/>
    </row>
    <row r="48" spans="1:35" s="65" customFormat="1" ht="26.25" customHeight="1" x14ac:dyDescent="0.45">
      <c r="A48" s="19">
        <v>44</v>
      </c>
      <c r="B48" s="66" t="s">
        <v>312</v>
      </c>
      <c r="C48" s="66" t="s">
        <v>313</v>
      </c>
      <c r="D48" s="67" t="s">
        <v>314</v>
      </c>
      <c r="E48" s="66" t="s">
        <v>81</v>
      </c>
      <c r="F48" s="66" t="s">
        <v>315</v>
      </c>
      <c r="G48" s="68" t="s">
        <v>316</v>
      </c>
      <c r="H48" s="69">
        <v>0</v>
      </c>
      <c r="I48" s="69" t="s">
        <v>163</v>
      </c>
      <c r="J48" s="69" t="s">
        <v>83</v>
      </c>
      <c r="K48" s="69" t="s">
        <v>74</v>
      </c>
      <c r="L48" s="70" t="s">
        <v>317</v>
      </c>
      <c r="M48" s="71" t="s">
        <v>318</v>
      </c>
      <c r="N48" s="66" t="str">
        <f>VLOOKUP(O48,'TJ. FUNGSIONAL'!$B$4:$C$34,2,0)</f>
        <v>Petugas Dapur</v>
      </c>
      <c r="O48" s="69" t="s">
        <v>319</v>
      </c>
      <c r="P48" s="66"/>
      <c r="Q48" s="66"/>
      <c r="R48" s="97"/>
      <c r="S48" s="97"/>
      <c r="T48" s="97"/>
      <c r="U48" s="97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93"/>
      <c r="AG48" s="66"/>
      <c r="AH48" s="66"/>
      <c r="AI48" s="66"/>
    </row>
    <row r="49" spans="1:35" s="65" customFormat="1" ht="26.25" customHeight="1" x14ac:dyDescent="0.45">
      <c r="A49" s="19">
        <v>45</v>
      </c>
      <c r="B49" s="66" t="s">
        <v>320</v>
      </c>
      <c r="C49" s="66" t="s">
        <v>321</v>
      </c>
      <c r="D49" s="67" t="s">
        <v>322</v>
      </c>
      <c r="E49" s="66" t="s">
        <v>81</v>
      </c>
      <c r="F49" s="66" t="s">
        <v>323</v>
      </c>
      <c r="G49" s="68" t="s">
        <v>316</v>
      </c>
      <c r="H49" s="69">
        <v>0</v>
      </c>
      <c r="I49" s="69" t="s">
        <v>163</v>
      </c>
      <c r="J49" s="69" t="s">
        <v>105</v>
      </c>
      <c r="K49" s="69" t="s">
        <v>74</v>
      </c>
      <c r="L49" s="70" t="s">
        <v>317</v>
      </c>
      <c r="M49" s="71" t="s">
        <v>318</v>
      </c>
      <c r="N49" s="66" t="str">
        <f>VLOOKUP(O49,'TJ. FUNGSIONAL'!$B$4:$C$34,2,0)</f>
        <v>Petugas Dapur</v>
      </c>
      <c r="O49" s="69" t="s">
        <v>319</v>
      </c>
      <c r="P49" s="66"/>
      <c r="Q49" s="66"/>
      <c r="R49" s="97"/>
      <c r="S49" s="97"/>
      <c r="T49" s="97"/>
      <c r="U49" s="97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93"/>
      <c r="AG49" s="66"/>
      <c r="AH49" s="66"/>
      <c r="AI49" s="66"/>
    </row>
    <row r="50" spans="1:35" ht="26.25" customHeight="1" x14ac:dyDescent="0.45">
      <c r="A50" s="19">
        <v>46</v>
      </c>
      <c r="B50" s="20" t="s">
        <v>324</v>
      </c>
      <c r="C50" s="20" t="s">
        <v>325</v>
      </c>
      <c r="D50" s="22" t="s">
        <v>326</v>
      </c>
      <c r="E50" s="20" t="s">
        <v>81</v>
      </c>
      <c r="F50" s="20" t="s">
        <v>327</v>
      </c>
      <c r="G50" s="23" t="s">
        <v>328</v>
      </c>
      <c r="H50" s="24">
        <v>0</v>
      </c>
      <c r="I50" s="24" t="s">
        <v>163</v>
      </c>
      <c r="J50" s="24" t="s">
        <v>73</v>
      </c>
      <c r="K50" s="24" t="s">
        <v>74</v>
      </c>
      <c r="L50" s="5" t="s">
        <v>75</v>
      </c>
      <c r="M50" s="25" t="s">
        <v>210</v>
      </c>
      <c r="N50" s="20" t="str">
        <f>VLOOKUP(O50,'TJ. FUNGSIONAL'!$B$4:$C$34,2,0)</f>
        <v>Guru Quran SD</v>
      </c>
      <c r="O50" s="24" t="s">
        <v>177</v>
      </c>
      <c r="P50" s="20"/>
      <c r="Q50" s="20"/>
      <c r="R50" s="96"/>
      <c r="S50" s="96"/>
      <c r="T50" s="96"/>
      <c r="U50" s="96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85"/>
      <c r="AG50" s="20"/>
      <c r="AH50" s="20"/>
      <c r="AI50" s="20"/>
    </row>
    <row r="51" spans="1:35" ht="26.25" customHeight="1" x14ac:dyDescent="0.45">
      <c r="A51" s="19">
        <v>47</v>
      </c>
      <c r="B51" s="20" t="s">
        <v>329</v>
      </c>
      <c r="C51" s="20" t="s">
        <v>330</v>
      </c>
      <c r="D51" s="22" t="s">
        <v>331</v>
      </c>
      <c r="E51" s="20" t="s">
        <v>81</v>
      </c>
      <c r="F51" s="20" t="s">
        <v>332</v>
      </c>
      <c r="G51" s="23" t="s">
        <v>333</v>
      </c>
      <c r="H51" s="24">
        <v>0</v>
      </c>
      <c r="I51" s="24" t="s">
        <v>163</v>
      </c>
      <c r="J51" s="24" t="s">
        <v>73</v>
      </c>
      <c r="K51" s="24" t="s">
        <v>84</v>
      </c>
      <c r="L51" s="5" t="s">
        <v>92</v>
      </c>
      <c r="M51" s="25" t="s">
        <v>143</v>
      </c>
      <c r="N51" s="20" t="str">
        <f>VLOOKUP(O51,'TJ. FUNGSIONAL'!$B$4:$C$34,2,0)</f>
        <v>Staf Admin SD</v>
      </c>
      <c r="O51" s="24" t="s">
        <v>334</v>
      </c>
      <c r="P51" s="20"/>
      <c r="Q51" s="20"/>
      <c r="R51" s="96"/>
      <c r="S51" s="96"/>
      <c r="T51" s="96"/>
      <c r="U51" s="96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85"/>
      <c r="AG51" s="20"/>
      <c r="AH51" s="20"/>
      <c r="AI51" s="20"/>
    </row>
    <row r="52" spans="1:35" ht="26.25" customHeight="1" x14ac:dyDescent="0.45">
      <c r="A52" s="19">
        <v>48</v>
      </c>
      <c r="B52" s="20" t="s">
        <v>335</v>
      </c>
      <c r="C52" s="20" t="s">
        <v>336</v>
      </c>
      <c r="D52" s="22" t="s">
        <v>337</v>
      </c>
      <c r="E52" s="20" t="s">
        <v>81</v>
      </c>
      <c r="F52" s="20" t="s">
        <v>338</v>
      </c>
      <c r="G52" s="23" t="s">
        <v>339</v>
      </c>
      <c r="H52" s="24">
        <v>0</v>
      </c>
      <c r="I52" s="24" t="s">
        <v>163</v>
      </c>
      <c r="J52" s="24" t="s">
        <v>73</v>
      </c>
      <c r="K52" s="24" t="s">
        <v>340</v>
      </c>
      <c r="L52" s="5" t="s">
        <v>112</v>
      </c>
      <c r="M52" s="25" t="s">
        <v>204</v>
      </c>
      <c r="N52" s="20" t="str">
        <f>VLOOKUP(O52,'TJ. FUNGSIONAL'!$B$4:$C$34,2,0)</f>
        <v>Staf Admin SD</v>
      </c>
      <c r="O52" s="24" t="s">
        <v>334</v>
      </c>
      <c r="P52" s="20"/>
      <c r="Q52" s="20"/>
      <c r="R52" s="96"/>
      <c r="S52" s="96"/>
      <c r="T52" s="96"/>
      <c r="U52" s="96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85"/>
      <c r="AG52" s="20"/>
      <c r="AH52" s="20"/>
      <c r="AI52" s="20"/>
    </row>
    <row r="53" spans="1:35" ht="26.25" customHeight="1" x14ac:dyDescent="0.45">
      <c r="A53" s="19">
        <v>49</v>
      </c>
      <c r="B53" s="20" t="s">
        <v>341</v>
      </c>
      <c r="C53" s="20" t="s">
        <v>342</v>
      </c>
      <c r="D53" s="22" t="s">
        <v>343</v>
      </c>
      <c r="E53" s="20" t="s">
        <v>130</v>
      </c>
      <c r="F53" s="20" t="s">
        <v>344</v>
      </c>
      <c r="G53" s="23" t="s">
        <v>345</v>
      </c>
      <c r="H53" s="24">
        <v>0</v>
      </c>
      <c r="I53" s="24" t="s">
        <v>163</v>
      </c>
      <c r="J53" s="24" t="s">
        <v>83</v>
      </c>
      <c r="K53" s="24" t="s">
        <v>346</v>
      </c>
      <c r="L53" s="35" t="s">
        <v>317</v>
      </c>
      <c r="M53" s="25" t="s">
        <v>318</v>
      </c>
      <c r="N53" s="20" t="str">
        <f>VLOOKUP(O53,'TJ. FUNGSIONAL'!$B$4:$C$34,2,0)</f>
        <v>Petugas Keamanan</v>
      </c>
      <c r="O53" s="24" t="s">
        <v>171</v>
      </c>
      <c r="P53" s="20"/>
      <c r="Q53" s="20"/>
      <c r="R53" s="96"/>
      <c r="S53" s="96"/>
      <c r="T53" s="96"/>
      <c r="U53" s="96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85"/>
      <c r="AG53" s="20"/>
      <c r="AH53" s="20"/>
      <c r="AI53" s="20"/>
    </row>
    <row r="54" spans="1:35" s="65" customFormat="1" ht="26.25" customHeight="1" x14ac:dyDescent="0.45">
      <c r="A54" s="19">
        <v>50</v>
      </c>
      <c r="B54" s="66" t="s">
        <v>347</v>
      </c>
      <c r="C54" s="66" t="s">
        <v>348</v>
      </c>
      <c r="D54" s="67" t="s">
        <v>349</v>
      </c>
      <c r="E54" s="66" t="s">
        <v>130</v>
      </c>
      <c r="F54" s="66" t="s">
        <v>350</v>
      </c>
      <c r="G54" s="68" t="s">
        <v>345</v>
      </c>
      <c r="H54" s="69">
        <v>0</v>
      </c>
      <c r="I54" s="69" t="s">
        <v>163</v>
      </c>
      <c r="J54" s="69" t="s">
        <v>351</v>
      </c>
      <c r="K54" s="69" t="s">
        <v>352</v>
      </c>
      <c r="L54" s="70">
        <v>1</v>
      </c>
      <c r="M54" s="71">
        <v>1</v>
      </c>
      <c r="N54" s="66" t="str">
        <f>VLOOKUP(O54,'TJ. FUNGSIONAL'!$B$4:$C$34,2,0)</f>
        <v>Petugas Kebersihan</v>
      </c>
      <c r="O54" s="69" t="s">
        <v>353</v>
      </c>
      <c r="P54" s="66"/>
      <c r="Q54" s="66"/>
      <c r="R54" s="97"/>
      <c r="S54" s="97"/>
      <c r="T54" s="97"/>
      <c r="U54" s="97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93"/>
      <c r="AG54" s="66"/>
      <c r="AH54" s="66"/>
      <c r="AI54" s="66"/>
    </row>
    <row r="55" spans="1:35" s="99" customFormat="1" ht="26.25" customHeight="1" x14ac:dyDescent="0.45">
      <c r="A55" s="19">
        <v>51</v>
      </c>
      <c r="B55" s="66" t="s">
        <v>354</v>
      </c>
      <c r="C55" s="66" t="s">
        <v>355</v>
      </c>
      <c r="D55" s="67" t="s">
        <v>356</v>
      </c>
      <c r="E55" s="66" t="s">
        <v>70</v>
      </c>
      <c r="F55" s="66" t="s">
        <v>357</v>
      </c>
      <c r="G55" s="68" t="s">
        <v>358</v>
      </c>
      <c r="H55" s="69">
        <v>0</v>
      </c>
      <c r="I55" s="69" t="s">
        <v>163</v>
      </c>
      <c r="J55" s="69" t="s">
        <v>119</v>
      </c>
      <c r="K55" s="69" t="s">
        <v>340</v>
      </c>
      <c r="L55" s="70" t="s">
        <v>359</v>
      </c>
      <c r="M55" s="71" t="s">
        <v>143</v>
      </c>
      <c r="N55" s="66" t="str">
        <f>VLOOKUP(O55,'TJ. FUNGSIONAL'!$B$4:$C$34,2,0)</f>
        <v>Guru Kelas RA</v>
      </c>
      <c r="O55" s="69" t="s">
        <v>360</v>
      </c>
      <c r="P55" s="66"/>
      <c r="Q55" s="66"/>
      <c r="R55" s="97"/>
      <c r="S55" s="97"/>
      <c r="T55" s="97"/>
      <c r="U55" s="97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93"/>
      <c r="AG55" s="66"/>
      <c r="AH55" s="66"/>
      <c r="AI55" s="66"/>
    </row>
    <row r="56" spans="1:35" ht="26.25" customHeight="1" x14ac:dyDescent="0.45">
      <c r="A56" s="19">
        <v>52</v>
      </c>
      <c r="B56" s="20" t="s">
        <v>361</v>
      </c>
      <c r="C56" s="20" t="s">
        <v>362</v>
      </c>
      <c r="D56" s="22" t="s">
        <v>363</v>
      </c>
      <c r="E56" s="20" t="s">
        <v>130</v>
      </c>
      <c r="F56" s="20" t="s">
        <v>364</v>
      </c>
      <c r="G56" s="23" t="s">
        <v>358</v>
      </c>
      <c r="H56" s="24">
        <v>0</v>
      </c>
      <c r="I56" s="24" t="s">
        <v>163</v>
      </c>
      <c r="J56" s="24" t="s">
        <v>73</v>
      </c>
      <c r="K56" s="24" t="s">
        <v>74</v>
      </c>
      <c r="L56" s="35" t="s">
        <v>317</v>
      </c>
      <c r="M56" s="25" t="s">
        <v>318</v>
      </c>
      <c r="N56" s="20" t="str">
        <f>VLOOKUP(O56,'TJ. FUNGSIONAL'!$B$4:$C$34,2,0)</f>
        <v>Guru Quran SMP</v>
      </c>
      <c r="O56" s="24" t="s">
        <v>275</v>
      </c>
      <c r="P56" s="20"/>
      <c r="Q56" s="20"/>
      <c r="R56" s="96"/>
      <c r="S56" s="96"/>
      <c r="T56" s="96"/>
      <c r="U56" s="96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85"/>
      <c r="AG56" s="20"/>
      <c r="AH56" s="20"/>
      <c r="AI56" s="20"/>
    </row>
    <row r="57" spans="1:35" s="65" customFormat="1" ht="23" customHeight="1" x14ac:dyDescent="0.45">
      <c r="A57" s="19">
        <v>53</v>
      </c>
      <c r="B57" s="66" t="s">
        <v>365</v>
      </c>
      <c r="C57" s="66" t="s">
        <v>366</v>
      </c>
      <c r="D57" s="67" t="s">
        <v>367</v>
      </c>
      <c r="E57" s="66" t="s">
        <v>130</v>
      </c>
      <c r="F57" s="66" t="s">
        <v>368</v>
      </c>
      <c r="G57" s="68" t="s">
        <v>369</v>
      </c>
      <c r="H57" s="69">
        <v>0</v>
      </c>
      <c r="I57" s="69" t="s">
        <v>163</v>
      </c>
      <c r="J57" s="69" t="s">
        <v>83</v>
      </c>
      <c r="K57" s="69" t="s">
        <v>352</v>
      </c>
      <c r="L57" s="70" t="s">
        <v>317</v>
      </c>
      <c r="M57" s="71"/>
      <c r="N57" s="66" t="str">
        <f>VLOOKUP(O57,'TJ. FUNGSIONAL'!$B$4:$C$34,2,0)</f>
        <v>Petugas Dapur</v>
      </c>
      <c r="O57" s="69" t="s">
        <v>319</v>
      </c>
      <c r="P57" s="66"/>
      <c r="Q57" s="66"/>
      <c r="R57" s="97"/>
      <c r="S57" s="97"/>
      <c r="T57" s="97"/>
      <c r="U57" s="97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93"/>
      <c r="AG57" s="66"/>
      <c r="AH57" s="66"/>
      <c r="AI57" s="66"/>
    </row>
    <row r="58" spans="1:35" ht="23" customHeight="1" x14ac:dyDescent="0.45">
      <c r="A58" s="19">
        <v>54</v>
      </c>
      <c r="B58" s="20" t="s">
        <v>370</v>
      </c>
      <c r="C58" s="64" t="s">
        <v>371</v>
      </c>
      <c r="D58" s="22" t="s">
        <v>372</v>
      </c>
      <c r="E58" s="20" t="s">
        <v>81</v>
      </c>
      <c r="F58" s="20" t="s">
        <v>373</v>
      </c>
      <c r="G58" s="23" t="s">
        <v>374</v>
      </c>
      <c r="H58" s="24">
        <v>0</v>
      </c>
      <c r="I58" s="24" t="s">
        <v>163</v>
      </c>
      <c r="J58" s="24" t="s">
        <v>73</v>
      </c>
      <c r="K58" s="24" t="s">
        <v>74</v>
      </c>
      <c r="L58" s="35" t="s">
        <v>317</v>
      </c>
      <c r="M58" s="25" t="s">
        <v>210</v>
      </c>
      <c r="N58" s="20" t="str">
        <f>VLOOKUP(O58,'TJ. FUNGSIONAL'!$B$4:$C$34,2,0)</f>
        <v>Guru Quran SD</v>
      </c>
      <c r="O58" s="24" t="s">
        <v>177</v>
      </c>
      <c r="P58" s="36"/>
      <c r="Q58" s="100"/>
      <c r="R58" s="100"/>
      <c r="S58" s="96"/>
      <c r="T58" s="96"/>
      <c r="U58" s="96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85"/>
      <c r="AG58" s="20"/>
      <c r="AH58" s="20"/>
      <c r="AI58" s="20"/>
    </row>
    <row r="59" spans="1:35" s="65" customFormat="1" ht="23" customHeight="1" x14ac:dyDescent="0.45">
      <c r="A59" s="19">
        <v>55</v>
      </c>
      <c r="B59" s="66" t="s">
        <v>375</v>
      </c>
      <c r="C59" s="98" t="s">
        <v>376</v>
      </c>
      <c r="D59" s="67" t="s">
        <v>377</v>
      </c>
      <c r="E59" s="66" t="s">
        <v>81</v>
      </c>
      <c r="F59" s="66" t="s">
        <v>378</v>
      </c>
      <c r="G59" s="68" t="s">
        <v>374</v>
      </c>
      <c r="H59" s="69">
        <v>0</v>
      </c>
      <c r="I59" s="69" t="s">
        <v>163</v>
      </c>
      <c r="J59" s="69" t="s">
        <v>73</v>
      </c>
      <c r="K59" s="69" t="s">
        <v>74</v>
      </c>
      <c r="L59" s="70" t="s">
        <v>317</v>
      </c>
      <c r="M59" s="71" t="s">
        <v>210</v>
      </c>
      <c r="N59" s="66" t="str">
        <f>VLOOKUP(O59,'TJ. FUNGSIONAL'!$B$4:$C$34,2,0)</f>
        <v>Guru Kelas SD</v>
      </c>
      <c r="O59" s="69" t="s">
        <v>379</v>
      </c>
      <c r="P59" s="72"/>
      <c r="Q59" s="101"/>
      <c r="R59" s="101"/>
      <c r="S59" s="97"/>
      <c r="T59" s="97"/>
      <c r="U59" s="97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93"/>
      <c r="AG59" s="66"/>
      <c r="AH59" s="66"/>
      <c r="AI59" s="66"/>
    </row>
    <row r="60" spans="1:35" ht="23" customHeight="1" x14ac:dyDescent="0.45">
      <c r="A60" s="19">
        <v>56</v>
      </c>
      <c r="B60" s="20" t="s">
        <v>380</v>
      </c>
      <c r="C60" s="102" t="s">
        <v>381</v>
      </c>
      <c r="D60" s="22" t="s">
        <v>382</v>
      </c>
      <c r="E60" s="20" t="s">
        <v>70</v>
      </c>
      <c r="F60" s="20" t="s">
        <v>383</v>
      </c>
      <c r="G60" s="23" t="s">
        <v>384</v>
      </c>
      <c r="H60" s="24">
        <v>0</v>
      </c>
      <c r="I60" s="24" t="s">
        <v>163</v>
      </c>
      <c r="J60" s="24" t="s">
        <v>73</v>
      </c>
      <c r="K60" s="24" t="s">
        <v>74</v>
      </c>
      <c r="L60" s="35" t="s">
        <v>317</v>
      </c>
      <c r="M60" s="25" t="s">
        <v>210</v>
      </c>
      <c r="N60" s="20" t="str">
        <f>VLOOKUP(O60,'TJ. FUNGSIONAL'!$B$4:$C$34,2,0)</f>
        <v>Guru Kelas RA</v>
      </c>
      <c r="O60" s="24" t="s">
        <v>360</v>
      </c>
      <c r="P60" s="20"/>
      <c r="Q60" s="20"/>
      <c r="R60" s="96"/>
      <c r="S60" s="96"/>
      <c r="T60" s="96"/>
      <c r="U60" s="96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85"/>
      <c r="AG60" s="20"/>
      <c r="AH60" s="20"/>
      <c r="AI60" s="20"/>
    </row>
    <row r="61" spans="1:35" ht="23" customHeight="1" x14ac:dyDescent="0.45">
      <c r="A61" s="19">
        <v>57</v>
      </c>
      <c r="B61" s="20" t="s">
        <v>385</v>
      </c>
      <c r="C61" s="20" t="s">
        <v>386</v>
      </c>
      <c r="D61" s="22" t="s">
        <v>387</v>
      </c>
      <c r="E61" s="20" t="s">
        <v>70</v>
      </c>
      <c r="F61" s="20" t="s">
        <v>388</v>
      </c>
      <c r="G61" s="23" t="s">
        <v>389</v>
      </c>
      <c r="H61" s="24">
        <v>0</v>
      </c>
      <c r="I61" s="24" t="s">
        <v>163</v>
      </c>
      <c r="J61" s="24" t="s">
        <v>390</v>
      </c>
      <c r="K61" s="24" t="s">
        <v>74</v>
      </c>
      <c r="L61" s="35" t="s">
        <v>317</v>
      </c>
      <c r="M61" s="25" t="s">
        <v>210</v>
      </c>
      <c r="N61" s="20" t="str">
        <f>VLOOKUP(O61,'TJ. FUNGSIONAL'!$B$4:$C$34,2,0)</f>
        <v>Karywn Penitipan</v>
      </c>
      <c r="O61" s="24" t="s">
        <v>138</v>
      </c>
      <c r="P61" s="20"/>
      <c r="Q61" s="20"/>
      <c r="R61" s="96"/>
      <c r="S61" s="96"/>
      <c r="T61" s="96"/>
      <c r="U61" s="96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85"/>
      <c r="AG61" s="20"/>
      <c r="AH61" s="20"/>
      <c r="AI61" s="20"/>
    </row>
    <row r="62" spans="1:35" s="52" customFormat="1" ht="23" customHeight="1" x14ac:dyDescent="0.45">
      <c r="A62" s="19">
        <v>58</v>
      </c>
      <c r="B62" s="20" t="s">
        <v>391</v>
      </c>
      <c r="C62" s="57" t="s">
        <v>392</v>
      </c>
      <c r="D62" s="22" t="s">
        <v>393</v>
      </c>
      <c r="E62" s="20" t="s">
        <v>81</v>
      </c>
      <c r="F62" s="20" t="s">
        <v>394</v>
      </c>
      <c r="G62" s="23" t="s">
        <v>389</v>
      </c>
      <c r="H62" s="24">
        <v>0</v>
      </c>
      <c r="I62" s="24" t="s">
        <v>163</v>
      </c>
      <c r="J62" s="24" t="s">
        <v>73</v>
      </c>
      <c r="K62" s="24" t="s">
        <v>84</v>
      </c>
      <c r="L62" s="35" t="s">
        <v>359</v>
      </c>
      <c r="M62" s="25" t="s">
        <v>143</v>
      </c>
      <c r="N62" s="20" t="str">
        <f>VLOOKUP(O62,'TJ. FUNGSIONAL'!$B$4:$C$34,2,0)</f>
        <v>Guru Kelas SD</v>
      </c>
      <c r="O62" s="24" t="s">
        <v>379</v>
      </c>
      <c r="P62" s="36"/>
      <c r="Q62" s="100"/>
      <c r="R62" s="100"/>
      <c r="S62" s="96"/>
      <c r="T62" s="96"/>
      <c r="U62" s="96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85"/>
      <c r="AG62" s="20"/>
      <c r="AH62" s="20"/>
      <c r="AI62" s="20"/>
    </row>
    <row r="63" spans="1:35" ht="23" customHeight="1" x14ac:dyDescent="0.45">
      <c r="A63" s="19">
        <v>59</v>
      </c>
      <c r="B63" s="20" t="s">
        <v>395</v>
      </c>
      <c r="C63" s="57" t="s">
        <v>396</v>
      </c>
      <c r="D63" s="22" t="s">
        <v>397</v>
      </c>
      <c r="E63" s="20" t="s">
        <v>81</v>
      </c>
      <c r="F63" s="20" t="s">
        <v>398</v>
      </c>
      <c r="G63" s="23" t="s">
        <v>389</v>
      </c>
      <c r="H63" s="24">
        <v>0</v>
      </c>
      <c r="I63" s="24" t="s">
        <v>163</v>
      </c>
      <c r="J63" s="24" t="s">
        <v>105</v>
      </c>
      <c r="K63" s="24" t="s">
        <v>84</v>
      </c>
      <c r="L63" s="35" t="s">
        <v>359</v>
      </c>
      <c r="M63" s="25" t="s">
        <v>143</v>
      </c>
      <c r="N63" s="20" t="str">
        <f>VLOOKUP(O63,'TJ. FUNGSIONAL'!$B$4:$C$34,2,0)</f>
        <v>Guru Kelas SD</v>
      </c>
      <c r="O63" s="24" t="s">
        <v>379</v>
      </c>
      <c r="P63" s="36"/>
      <c r="Q63" s="100"/>
      <c r="R63" s="100"/>
      <c r="S63" s="96"/>
      <c r="T63" s="96"/>
      <c r="U63" s="96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85"/>
      <c r="AG63" s="20"/>
      <c r="AH63" s="20"/>
      <c r="AI63" s="20"/>
    </row>
    <row r="64" spans="1:35" ht="23" customHeight="1" x14ac:dyDescent="0.45">
      <c r="A64" s="19">
        <v>60</v>
      </c>
      <c r="B64" s="20" t="s">
        <v>399</v>
      </c>
      <c r="C64" s="20" t="s">
        <v>400</v>
      </c>
      <c r="D64" s="22" t="s">
        <v>401</v>
      </c>
      <c r="E64" s="20" t="s">
        <v>402</v>
      </c>
      <c r="F64" s="20" t="s">
        <v>403</v>
      </c>
      <c r="G64" s="23" t="s">
        <v>404</v>
      </c>
      <c r="H64" s="24">
        <v>0</v>
      </c>
      <c r="I64" s="24" t="s">
        <v>163</v>
      </c>
      <c r="J64" s="24" t="s">
        <v>73</v>
      </c>
      <c r="K64" s="24" t="s">
        <v>84</v>
      </c>
      <c r="L64" s="35" t="s">
        <v>359</v>
      </c>
      <c r="M64" s="25" t="s">
        <v>143</v>
      </c>
      <c r="N64" s="20" t="str">
        <f>VLOOKUP(O64,'TJ. FUNGSIONAL'!$B$4:$C$34,2,0)</f>
        <v>Guru Kelas RA</v>
      </c>
      <c r="O64" s="24" t="s">
        <v>360</v>
      </c>
      <c r="P64" s="20"/>
      <c r="Q64" s="20"/>
      <c r="R64" s="96"/>
      <c r="S64" s="96"/>
      <c r="T64" s="96"/>
      <c r="U64" s="96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85"/>
      <c r="AG64" s="20"/>
      <c r="AH64" s="20"/>
      <c r="AI64" s="20"/>
    </row>
    <row r="65" spans="1:35" s="65" customFormat="1" ht="23" customHeight="1" x14ac:dyDescent="0.45">
      <c r="A65" s="19">
        <v>61</v>
      </c>
      <c r="B65" s="66" t="s">
        <v>405</v>
      </c>
      <c r="C65" s="66" t="s">
        <v>406</v>
      </c>
      <c r="D65" s="67" t="s">
        <v>407</v>
      </c>
      <c r="E65" s="66" t="s">
        <v>130</v>
      </c>
      <c r="F65" s="66" t="s">
        <v>408</v>
      </c>
      <c r="G65" s="68" t="s">
        <v>409</v>
      </c>
      <c r="H65" s="69">
        <v>0</v>
      </c>
      <c r="I65" s="69" t="s">
        <v>163</v>
      </c>
      <c r="J65" s="69" t="s">
        <v>73</v>
      </c>
      <c r="K65" s="69" t="s">
        <v>74</v>
      </c>
      <c r="L65" s="70" t="s">
        <v>317</v>
      </c>
      <c r="M65" s="71" t="s">
        <v>210</v>
      </c>
      <c r="N65" s="66" t="str">
        <f>VLOOKUP(O65,'TJ. FUNGSIONAL'!$B$4:$C$34,2,0)</f>
        <v>Guru Quran SMP</v>
      </c>
      <c r="O65" s="69" t="s">
        <v>275</v>
      </c>
      <c r="P65" s="66"/>
      <c r="Q65" s="66"/>
      <c r="R65" s="97"/>
      <c r="S65" s="97"/>
      <c r="T65" s="97"/>
      <c r="U65" s="97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93"/>
      <c r="AG65" s="66"/>
      <c r="AH65" s="66"/>
      <c r="AI65" s="66"/>
    </row>
    <row r="66" spans="1:35" ht="23" customHeight="1" x14ac:dyDescent="0.45">
      <c r="A66" s="19">
        <v>62</v>
      </c>
      <c r="B66" s="20" t="s">
        <v>410</v>
      </c>
      <c r="C66" s="57" t="s">
        <v>411</v>
      </c>
      <c r="D66" s="22" t="s">
        <v>412</v>
      </c>
      <c r="E66" s="20" t="s">
        <v>81</v>
      </c>
      <c r="F66" s="20" t="s">
        <v>413</v>
      </c>
      <c r="G66" s="23" t="s">
        <v>414</v>
      </c>
      <c r="H66" s="24">
        <v>0</v>
      </c>
      <c r="I66" s="24" t="s">
        <v>163</v>
      </c>
      <c r="J66" s="24" t="s">
        <v>73</v>
      </c>
      <c r="K66" s="24" t="s">
        <v>74</v>
      </c>
      <c r="L66" s="35" t="s">
        <v>317</v>
      </c>
      <c r="M66" s="25" t="s">
        <v>318</v>
      </c>
      <c r="N66" s="20" t="str">
        <f>VLOOKUP(O66,'TJ. FUNGSIONAL'!$B$4:$C$34,2,0)</f>
        <v>Guru Quran SD</v>
      </c>
      <c r="O66" s="24" t="s">
        <v>177</v>
      </c>
      <c r="P66" s="36"/>
      <c r="Q66" s="100"/>
      <c r="R66" s="100"/>
      <c r="S66" s="96"/>
      <c r="T66" s="96"/>
      <c r="U66" s="96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85"/>
      <c r="AG66" s="20"/>
      <c r="AH66" s="20"/>
      <c r="AI66" s="20"/>
    </row>
    <row r="67" spans="1:35" s="65" customFormat="1" ht="23" customHeight="1" x14ac:dyDescent="0.45">
      <c r="A67" s="19">
        <v>63</v>
      </c>
      <c r="B67" s="66" t="s">
        <v>415</v>
      </c>
      <c r="C67" s="66" t="s">
        <v>416</v>
      </c>
      <c r="D67" s="67" t="s">
        <v>417</v>
      </c>
      <c r="E67" s="66" t="s">
        <v>130</v>
      </c>
      <c r="F67" s="66" t="s">
        <v>418</v>
      </c>
      <c r="G67" s="68" t="s">
        <v>419</v>
      </c>
      <c r="H67" s="69">
        <v>0</v>
      </c>
      <c r="I67" s="69" t="s">
        <v>163</v>
      </c>
      <c r="J67" s="69" t="s">
        <v>176</v>
      </c>
      <c r="K67" s="69" t="s">
        <v>84</v>
      </c>
      <c r="L67" s="70" t="s">
        <v>359</v>
      </c>
      <c r="M67" s="71" t="s">
        <v>143</v>
      </c>
      <c r="N67" s="66" t="str">
        <f>VLOOKUP(O67,'TJ. FUNGSIONAL'!$B$4:$C$34,2,0)</f>
        <v>Guru Mapel SMP</v>
      </c>
      <c r="O67" s="69" t="s">
        <v>303</v>
      </c>
      <c r="P67" s="66"/>
      <c r="Q67" s="66"/>
      <c r="R67" s="97"/>
      <c r="S67" s="97"/>
      <c r="T67" s="97"/>
      <c r="U67" s="97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93"/>
      <c r="AG67" s="66"/>
      <c r="AH67" s="66"/>
      <c r="AI67" s="66"/>
    </row>
    <row r="68" spans="1:35" ht="23" customHeight="1" x14ac:dyDescent="0.45">
      <c r="A68" s="19">
        <v>64</v>
      </c>
      <c r="B68" s="20" t="s">
        <v>420</v>
      </c>
      <c r="C68" s="20" t="s">
        <v>421</v>
      </c>
      <c r="D68" s="22" t="s">
        <v>422</v>
      </c>
      <c r="E68" s="20" t="s">
        <v>130</v>
      </c>
      <c r="F68" s="20" t="s">
        <v>423</v>
      </c>
      <c r="G68" s="23" t="s">
        <v>424</v>
      </c>
      <c r="H68" s="24">
        <v>0</v>
      </c>
      <c r="I68" s="24" t="s">
        <v>163</v>
      </c>
      <c r="J68" s="24" t="s">
        <v>73</v>
      </c>
      <c r="K68" s="24" t="s">
        <v>74</v>
      </c>
      <c r="L68" s="35" t="s">
        <v>317</v>
      </c>
      <c r="M68" s="25" t="s">
        <v>210</v>
      </c>
      <c r="N68" s="20" t="str">
        <f>VLOOKUP(O68,'TJ. FUNGSIONAL'!$B$4:$C$34,2,0)</f>
        <v>Guru Quran SD</v>
      </c>
      <c r="O68" s="24" t="s">
        <v>177</v>
      </c>
      <c r="P68" s="20"/>
      <c r="Q68" s="20"/>
      <c r="R68" s="96"/>
      <c r="S68" s="96"/>
      <c r="T68" s="96"/>
      <c r="U68" s="96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85"/>
      <c r="AG68" s="20"/>
      <c r="AH68" s="20"/>
      <c r="AI68" s="20"/>
    </row>
    <row r="69" spans="1:35" ht="23" customHeight="1" x14ac:dyDescent="0.45">
      <c r="A69" s="19">
        <v>65</v>
      </c>
      <c r="B69" s="20" t="s">
        <v>425</v>
      </c>
      <c r="C69" s="20" t="s">
        <v>426</v>
      </c>
      <c r="D69" s="22" t="s">
        <v>427</v>
      </c>
      <c r="E69" s="20" t="s">
        <v>130</v>
      </c>
      <c r="F69" s="20" t="s">
        <v>428</v>
      </c>
      <c r="G69" s="23" t="s">
        <v>424</v>
      </c>
      <c r="H69" s="24">
        <v>0</v>
      </c>
      <c r="I69" s="24" t="s">
        <v>163</v>
      </c>
      <c r="J69" s="24" t="s">
        <v>73</v>
      </c>
      <c r="K69" s="24" t="s">
        <v>74</v>
      </c>
      <c r="L69" s="35" t="s">
        <v>317</v>
      </c>
      <c r="M69" s="25" t="s">
        <v>210</v>
      </c>
      <c r="N69" s="20" t="str">
        <f>VLOOKUP(O69,'TJ. FUNGSIONAL'!$B$4:$C$34,2,0)</f>
        <v>Staf Admin SMP</v>
      </c>
      <c r="O69" s="24" t="s">
        <v>429</v>
      </c>
      <c r="P69" s="20"/>
      <c r="Q69" s="20"/>
      <c r="R69" s="96"/>
      <c r="S69" s="96"/>
      <c r="T69" s="96"/>
      <c r="U69" s="96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85"/>
      <c r="AG69" s="20"/>
      <c r="AH69" s="20"/>
      <c r="AI69" s="20"/>
    </row>
    <row r="70" spans="1:35" s="65" customFormat="1" ht="23" customHeight="1" x14ac:dyDescent="0.45">
      <c r="A70" s="19">
        <v>66</v>
      </c>
      <c r="B70" s="66" t="s">
        <v>430</v>
      </c>
      <c r="C70" s="66" t="s">
        <v>431</v>
      </c>
      <c r="D70" s="67" t="s">
        <v>432</v>
      </c>
      <c r="E70" s="66" t="s">
        <v>81</v>
      </c>
      <c r="F70" s="66" t="s">
        <v>433</v>
      </c>
      <c r="G70" s="68" t="s">
        <v>434</v>
      </c>
      <c r="H70" s="69">
        <v>0</v>
      </c>
      <c r="I70" s="69" t="s">
        <v>163</v>
      </c>
      <c r="J70" s="69" t="s">
        <v>73</v>
      </c>
      <c r="K70" s="69" t="s">
        <v>74</v>
      </c>
      <c r="L70" s="70" t="s">
        <v>317</v>
      </c>
      <c r="M70" s="71" t="s">
        <v>210</v>
      </c>
      <c r="N70" s="66" t="str">
        <f>VLOOKUP(O70,'TJ. FUNGSIONAL'!$B$4:$C$34,2,0)</f>
        <v>Petugas Keamanan</v>
      </c>
      <c r="O70" s="69" t="s">
        <v>171</v>
      </c>
      <c r="P70" s="66"/>
      <c r="Q70" s="66"/>
      <c r="R70" s="97"/>
      <c r="S70" s="97" t="s">
        <v>435</v>
      </c>
      <c r="T70" s="97"/>
      <c r="U70" s="97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93"/>
      <c r="AG70" s="66"/>
      <c r="AH70" s="66"/>
      <c r="AI70" s="66"/>
    </row>
    <row r="71" spans="1:35" s="9" customFormat="1" ht="23" customHeight="1" x14ac:dyDescent="0.45">
      <c r="A71" s="19">
        <v>67</v>
      </c>
      <c r="B71" s="20" t="s">
        <v>436</v>
      </c>
      <c r="C71" s="20" t="s">
        <v>437</v>
      </c>
      <c r="D71" s="22" t="s">
        <v>438</v>
      </c>
      <c r="E71" s="20" t="s">
        <v>130</v>
      </c>
      <c r="F71" s="20" t="s">
        <v>439</v>
      </c>
      <c r="G71" s="23" t="s">
        <v>440</v>
      </c>
      <c r="H71" s="24">
        <v>0</v>
      </c>
      <c r="I71" s="24" t="s">
        <v>163</v>
      </c>
      <c r="J71" s="24" t="s">
        <v>73</v>
      </c>
      <c r="K71" s="24" t="s">
        <v>74</v>
      </c>
      <c r="L71" s="35" t="s">
        <v>317</v>
      </c>
      <c r="M71" s="25" t="s">
        <v>210</v>
      </c>
      <c r="N71" s="20" t="str">
        <f>VLOOKUP(O71,'TJ. FUNGSIONAL'!$B$4:$C$34,2,0)</f>
        <v>Guru Quran SMP</v>
      </c>
      <c r="O71" s="24" t="s">
        <v>275</v>
      </c>
      <c r="P71" s="20"/>
      <c r="Q71" s="20"/>
      <c r="R71" s="96"/>
      <c r="S71" s="96"/>
      <c r="T71" s="96"/>
      <c r="U71" s="96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85"/>
      <c r="AG71" s="20"/>
      <c r="AH71" s="20"/>
      <c r="AI71" s="20"/>
    </row>
    <row r="72" spans="1:35" ht="18.75" customHeight="1" x14ac:dyDescent="0.45">
      <c r="A72" s="19">
        <v>68</v>
      </c>
      <c r="B72" s="20" t="s">
        <v>441</v>
      </c>
      <c r="C72" s="102" t="s">
        <v>442</v>
      </c>
      <c r="D72" s="22" t="s">
        <v>443</v>
      </c>
      <c r="E72" s="20" t="s">
        <v>444</v>
      </c>
      <c r="F72" s="20" t="s">
        <v>445</v>
      </c>
      <c r="G72" s="23" t="s">
        <v>446</v>
      </c>
      <c r="H72" s="24">
        <v>0</v>
      </c>
      <c r="I72" s="24" t="s">
        <v>163</v>
      </c>
      <c r="J72" s="24" t="s">
        <v>73</v>
      </c>
      <c r="K72" s="24" t="s">
        <v>74</v>
      </c>
      <c r="L72" s="35" t="s">
        <v>317</v>
      </c>
      <c r="M72" s="25" t="s">
        <v>210</v>
      </c>
      <c r="N72" s="24" t="s">
        <v>447</v>
      </c>
      <c r="O72" s="24" t="s">
        <v>360</v>
      </c>
      <c r="P72" s="20"/>
      <c r="Q72" s="20"/>
      <c r="R72" s="96"/>
      <c r="S72" s="96"/>
      <c r="T72" s="96"/>
      <c r="U72" s="96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85"/>
      <c r="AG72" s="20"/>
      <c r="AH72" s="20"/>
      <c r="AI72" s="20"/>
    </row>
    <row r="73" spans="1:35" s="65" customFormat="1" ht="18.75" customHeight="1" x14ac:dyDescent="0.45">
      <c r="A73" s="19">
        <v>69</v>
      </c>
      <c r="B73" s="66" t="s">
        <v>448</v>
      </c>
      <c r="C73" s="66" t="s">
        <v>449</v>
      </c>
      <c r="D73" s="67" t="s">
        <v>450</v>
      </c>
      <c r="E73" s="66" t="s">
        <v>130</v>
      </c>
      <c r="F73" s="66" t="s">
        <v>451</v>
      </c>
      <c r="G73" s="68" t="s">
        <v>452</v>
      </c>
      <c r="H73" s="69">
        <v>0</v>
      </c>
      <c r="I73" s="69" t="s">
        <v>163</v>
      </c>
      <c r="J73" s="69" t="s">
        <v>73</v>
      </c>
      <c r="K73" s="69" t="s">
        <v>74</v>
      </c>
      <c r="L73" s="70" t="s">
        <v>317</v>
      </c>
      <c r="M73" s="71" t="s">
        <v>210</v>
      </c>
      <c r="N73" s="69" t="s">
        <v>453</v>
      </c>
      <c r="O73" s="69" t="s">
        <v>275</v>
      </c>
      <c r="P73" s="66"/>
      <c r="Q73" s="66"/>
      <c r="R73" s="97"/>
      <c r="S73" s="97"/>
      <c r="T73" s="97"/>
      <c r="U73" s="97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93"/>
      <c r="AG73" s="66"/>
      <c r="AH73" s="66"/>
      <c r="AI73" s="66"/>
    </row>
    <row r="74" spans="1:35" ht="18.75" customHeight="1" x14ac:dyDescent="0.45">
      <c r="A74" s="19">
        <v>70</v>
      </c>
      <c r="B74" s="20" t="s">
        <v>454</v>
      </c>
      <c r="C74" s="20" t="s">
        <v>455</v>
      </c>
      <c r="D74" s="22" t="s">
        <v>456</v>
      </c>
      <c r="E74" s="20" t="s">
        <v>81</v>
      </c>
      <c r="F74" s="20" t="s">
        <v>457</v>
      </c>
      <c r="G74" s="23" t="s">
        <v>458</v>
      </c>
      <c r="H74" s="24">
        <v>0</v>
      </c>
      <c r="I74" s="24" t="s">
        <v>163</v>
      </c>
      <c r="J74" s="24" t="s">
        <v>176</v>
      </c>
      <c r="K74" s="24" t="s">
        <v>84</v>
      </c>
      <c r="L74" s="35" t="s">
        <v>359</v>
      </c>
      <c r="M74" s="25" t="s">
        <v>143</v>
      </c>
      <c r="N74" s="24" t="s">
        <v>459</v>
      </c>
      <c r="O74" s="24" t="s">
        <v>379</v>
      </c>
      <c r="P74" s="20"/>
      <c r="Q74" s="20"/>
      <c r="R74" s="96"/>
      <c r="S74" s="96"/>
      <c r="T74" s="96"/>
      <c r="U74" s="96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85"/>
      <c r="AG74" s="20"/>
      <c r="AH74" s="20"/>
      <c r="AI74" s="20"/>
    </row>
    <row r="75" spans="1:35" s="65" customFormat="1" ht="18.75" customHeight="1" x14ac:dyDescent="0.45">
      <c r="A75" s="19">
        <v>71</v>
      </c>
      <c r="B75" s="66" t="s">
        <v>460</v>
      </c>
      <c r="C75" s="66" t="s">
        <v>461</v>
      </c>
      <c r="D75" s="67" t="s">
        <v>462</v>
      </c>
      <c r="E75" s="66" t="s">
        <v>81</v>
      </c>
      <c r="F75" s="66" t="s">
        <v>463</v>
      </c>
      <c r="G75" s="68" t="s">
        <v>464</v>
      </c>
      <c r="H75" s="69">
        <v>0</v>
      </c>
      <c r="I75" s="69" t="s">
        <v>163</v>
      </c>
      <c r="J75" s="69" t="s">
        <v>73</v>
      </c>
      <c r="K75" s="69" t="s">
        <v>74</v>
      </c>
      <c r="L75" s="70" t="s">
        <v>317</v>
      </c>
      <c r="M75" s="71" t="s">
        <v>210</v>
      </c>
      <c r="N75" s="69" t="s">
        <v>465</v>
      </c>
      <c r="O75" s="69" t="s">
        <v>177</v>
      </c>
      <c r="P75" s="66"/>
      <c r="Q75" s="66"/>
      <c r="R75" s="97"/>
      <c r="S75" s="97"/>
      <c r="T75" s="97"/>
      <c r="U75" s="97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93"/>
      <c r="AG75" s="66"/>
      <c r="AH75" s="66"/>
      <c r="AI75" s="66"/>
    </row>
    <row r="76" spans="1:35" s="65" customFormat="1" ht="18.75" customHeight="1" x14ac:dyDescent="0.45">
      <c r="A76" s="19">
        <v>72</v>
      </c>
      <c r="B76" s="66" t="s">
        <v>466</v>
      </c>
      <c r="C76" s="66" t="s">
        <v>467</v>
      </c>
      <c r="D76" s="67" t="s">
        <v>468</v>
      </c>
      <c r="E76" s="66" t="s">
        <v>81</v>
      </c>
      <c r="F76" s="66" t="s">
        <v>469</v>
      </c>
      <c r="G76" s="68" t="s">
        <v>470</v>
      </c>
      <c r="H76" s="69">
        <v>0</v>
      </c>
      <c r="I76" s="69" t="s">
        <v>163</v>
      </c>
      <c r="J76" s="69" t="s">
        <v>119</v>
      </c>
      <c r="K76" s="69" t="s">
        <v>74</v>
      </c>
      <c r="L76" s="70" t="s">
        <v>317</v>
      </c>
      <c r="M76" s="71" t="s">
        <v>210</v>
      </c>
      <c r="N76" s="69" t="s">
        <v>471</v>
      </c>
      <c r="O76" s="69" t="s">
        <v>171</v>
      </c>
      <c r="P76" s="66"/>
      <c r="Q76" s="66"/>
      <c r="R76" s="97"/>
      <c r="S76" s="97"/>
      <c r="T76" s="97"/>
      <c r="U76" s="97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93"/>
      <c r="AG76" s="66"/>
      <c r="AH76" s="66"/>
      <c r="AI76" s="66"/>
    </row>
    <row r="77" spans="1:35" s="65" customFormat="1" ht="18.75" customHeight="1" x14ac:dyDescent="0.45">
      <c r="A77" s="19">
        <v>73</v>
      </c>
      <c r="B77" s="66" t="s">
        <v>472</v>
      </c>
      <c r="C77" s="66" t="s">
        <v>473</v>
      </c>
      <c r="D77" s="67" t="s">
        <v>474</v>
      </c>
      <c r="E77" s="66" t="s">
        <v>130</v>
      </c>
      <c r="F77" s="66" t="s">
        <v>475</v>
      </c>
      <c r="G77" s="68"/>
      <c r="H77" s="69"/>
      <c r="I77" s="69"/>
      <c r="J77" s="69" t="s">
        <v>73</v>
      </c>
      <c r="K77" s="69" t="s">
        <v>74</v>
      </c>
      <c r="L77" s="70" t="s">
        <v>317</v>
      </c>
      <c r="M77" s="71" t="s">
        <v>318</v>
      </c>
      <c r="N77" s="69" t="s">
        <v>453</v>
      </c>
      <c r="O77" s="69" t="s">
        <v>275</v>
      </c>
      <c r="P77" s="66"/>
      <c r="Q77" s="66"/>
      <c r="R77" s="97"/>
      <c r="S77" s="97"/>
      <c r="T77" s="97"/>
      <c r="U77" s="97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93"/>
      <c r="AG77" s="66"/>
      <c r="AH77" s="66"/>
      <c r="AI77" s="66"/>
    </row>
    <row r="78" spans="1:35" s="65" customFormat="1" ht="18.75" customHeight="1" x14ac:dyDescent="0.45">
      <c r="A78" s="19">
        <v>74</v>
      </c>
      <c r="B78" s="103" t="s">
        <v>476</v>
      </c>
      <c r="C78" s="66" t="s">
        <v>477</v>
      </c>
      <c r="D78" s="67" t="s">
        <v>478</v>
      </c>
      <c r="E78" s="66" t="s">
        <v>479</v>
      </c>
      <c r="F78" s="66" t="s">
        <v>480</v>
      </c>
      <c r="G78" s="68" t="s">
        <v>481</v>
      </c>
      <c r="H78" s="69">
        <v>0</v>
      </c>
      <c r="I78" s="69" t="s">
        <v>163</v>
      </c>
      <c r="J78" s="69" t="s">
        <v>73</v>
      </c>
      <c r="K78" s="69" t="s">
        <v>84</v>
      </c>
      <c r="L78" s="70" t="s">
        <v>359</v>
      </c>
      <c r="M78" s="71" t="s">
        <v>318</v>
      </c>
      <c r="N78" s="69" t="s">
        <v>459</v>
      </c>
      <c r="O78" s="69" t="s">
        <v>379</v>
      </c>
      <c r="P78" s="66"/>
      <c r="Q78" s="66"/>
      <c r="R78" s="97"/>
      <c r="S78" s="97"/>
      <c r="T78" s="97"/>
      <c r="U78" s="97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93"/>
      <c r="AG78" s="66"/>
      <c r="AH78" s="66"/>
      <c r="AI78" s="66"/>
    </row>
    <row r="79" spans="1:35" s="65" customFormat="1" ht="18.75" customHeight="1" x14ac:dyDescent="0.45">
      <c r="A79" s="19">
        <v>75</v>
      </c>
      <c r="B79" s="103" t="s">
        <v>482</v>
      </c>
      <c r="C79" s="66" t="s">
        <v>483</v>
      </c>
      <c r="D79" s="67" t="s">
        <v>484</v>
      </c>
      <c r="E79" s="66" t="s">
        <v>130</v>
      </c>
      <c r="F79" s="66" t="s">
        <v>485</v>
      </c>
      <c r="G79" s="68" t="s">
        <v>486</v>
      </c>
      <c r="H79" s="69">
        <v>0</v>
      </c>
      <c r="I79" s="69" t="s">
        <v>163</v>
      </c>
      <c r="J79" s="69" t="s">
        <v>119</v>
      </c>
      <c r="K79" s="69" t="s">
        <v>84</v>
      </c>
      <c r="L79" s="70" t="s">
        <v>359</v>
      </c>
      <c r="M79" s="71" t="s">
        <v>487</v>
      </c>
      <c r="N79" s="69" t="s">
        <v>488</v>
      </c>
      <c r="O79" s="69" t="s">
        <v>303</v>
      </c>
      <c r="P79" s="66"/>
      <c r="Q79" s="66"/>
      <c r="R79" s="97"/>
      <c r="S79" s="97"/>
      <c r="T79" s="97"/>
      <c r="U79" s="97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93"/>
      <c r="AG79" s="66"/>
      <c r="AH79" s="66"/>
      <c r="AI79" s="66"/>
    </row>
    <row r="80" spans="1:35" s="65" customFormat="1" ht="18.75" customHeight="1" x14ac:dyDescent="0.45">
      <c r="A80" s="19">
        <v>76</v>
      </c>
      <c r="B80" s="103" t="s">
        <v>489</v>
      </c>
      <c r="C80" s="66" t="s">
        <v>490</v>
      </c>
      <c r="D80" s="67" t="s">
        <v>491</v>
      </c>
      <c r="E80" s="66" t="s">
        <v>130</v>
      </c>
      <c r="F80" s="66" t="s">
        <v>492</v>
      </c>
      <c r="G80" s="68" t="s">
        <v>493</v>
      </c>
      <c r="H80" s="69">
        <v>0</v>
      </c>
      <c r="I80" s="69" t="s">
        <v>163</v>
      </c>
      <c r="J80" s="69" t="s">
        <v>105</v>
      </c>
      <c r="K80" s="69" t="s">
        <v>74</v>
      </c>
      <c r="L80" s="70" t="s">
        <v>317</v>
      </c>
      <c r="M80" s="71" t="s">
        <v>318</v>
      </c>
      <c r="N80" s="69" t="s">
        <v>494</v>
      </c>
      <c r="O80" s="69" t="s">
        <v>171</v>
      </c>
      <c r="P80" s="66"/>
      <c r="Q80" s="66"/>
      <c r="R80" s="97"/>
      <c r="S80" s="97"/>
      <c r="T80" s="97"/>
      <c r="U80" s="97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93"/>
      <c r="AG80" s="66"/>
      <c r="AH80" s="66"/>
      <c r="AI80" s="66"/>
    </row>
    <row r="81" spans="1:35" ht="18.75" customHeight="1" x14ac:dyDescent="0.45">
      <c r="A81" s="19">
        <v>77</v>
      </c>
      <c r="B81" s="104" t="s">
        <v>495</v>
      </c>
      <c r="C81" s="20" t="s">
        <v>496</v>
      </c>
      <c r="D81" s="22" t="s">
        <v>497</v>
      </c>
      <c r="E81" s="20" t="s">
        <v>130</v>
      </c>
      <c r="F81" s="20" t="s">
        <v>498</v>
      </c>
      <c r="G81" s="23" t="s">
        <v>499</v>
      </c>
      <c r="H81" s="24">
        <v>0</v>
      </c>
      <c r="I81" s="24" t="s">
        <v>163</v>
      </c>
      <c r="J81" s="24" t="s">
        <v>73</v>
      </c>
      <c r="K81" s="24" t="s">
        <v>74</v>
      </c>
      <c r="L81" s="35" t="s">
        <v>317</v>
      </c>
      <c r="M81" s="25" t="s">
        <v>318</v>
      </c>
      <c r="N81" s="24" t="s">
        <v>453</v>
      </c>
      <c r="O81" s="24" t="s">
        <v>275</v>
      </c>
      <c r="P81" s="20"/>
      <c r="Q81" s="20"/>
      <c r="R81" s="96"/>
      <c r="S81" s="96"/>
      <c r="T81" s="96"/>
      <c r="U81" s="96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85"/>
      <c r="AG81" s="20"/>
      <c r="AH81" s="20"/>
      <c r="AI81" s="20"/>
    </row>
    <row r="82" spans="1:35" s="65" customFormat="1" ht="18.75" customHeight="1" x14ac:dyDescent="0.45">
      <c r="A82" s="19">
        <v>78</v>
      </c>
      <c r="B82" s="103" t="s">
        <v>500</v>
      </c>
      <c r="C82" s="66" t="s">
        <v>501</v>
      </c>
      <c r="D82" s="67" t="s">
        <v>502</v>
      </c>
      <c r="E82" s="66" t="s">
        <v>130</v>
      </c>
      <c r="F82" s="66" t="s">
        <v>503</v>
      </c>
      <c r="G82" s="68" t="s">
        <v>504</v>
      </c>
      <c r="H82" s="69">
        <v>0</v>
      </c>
      <c r="I82" s="69" t="s">
        <v>163</v>
      </c>
      <c r="J82" s="69" t="s">
        <v>73</v>
      </c>
      <c r="K82" s="69" t="s">
        <v>74</v>
      </c>
      <c r="L82" s="70" t="s">
        <v>317</v>
      </c>
      <c r="M82" s="71" t="s">
        <v>318</v>
      </c>
      <c r="N82" s="69" t="s">
        <v>453</v>
      </c>
      <c r="O82" s="69" t="s">
        <v>275</v>
      </c>
      <c r="P82" s="66"/>
      <c r="Q82" s="66"/>
      <c r="R82" s="97"/>
      <c r="S82" s="97"/>
      <c r="T82" s="97"/>
      <c r="U82" s="97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93"/>
      <c r="AG82" s="66"/>
      <c r="AH82" s="66"/>
      <c r="AI82" s="66"/>
    </row>
    <row r="83" spans="1:35" s="65" customFormat="1" ht="18.75" customHeight="1" x14ac:dyDescent="0.45">
      <c r="A83" s="19">
        <v>79</v>
      </c>
      <c r="B83" s="103" t="s">
        <v>505</v>
      </c>
      <c r="C83" s="66" t="s">
        <v>506</v>
      </c>
      <c r="D83" s="67" t="s">
        <v>507</v>
      </c>
      <c r="E83" s="66" t="s">
        <v>130</v>
      </c>
      <c r="F83" s="66" t="s">
        <v>508</v>
      </c>
      <c r="G83" s="68" t="s">
        <v>509</v>
      </c>
      <c r="H83" s="69">
        <v>0</v>
      </c>
      <c r="I83" s="69" t="s">
        <v>163</v>
      </c>
      <c r="J83" s="69" t="s">
        <v>73</v>
      </c>
      <c r="K83" s="69" t="s">
        <v>74</v>
      </c>
      <c r="L83" s="70" t="s">
        <v>317</v>
      </c>
      <c r="M83" s="71" t="s">
        <v>318</v>
      </c>
      <c r="N83" s="69" t="s">
        <v>453</v>
      </c>
      <c r="O83" s="69" t="s">
        <v>275</v>
      </c>
      <c r="P83" s="66"/>
      <c r="Q83" s="66"/>
      <c r="R83" s="97"/>
      <c r="S83" s="97"/>
      <c r="T83" s="97"/>
      <c r="U83" s="97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93"/>
      <c r="AG83" s="66"/>
      <c r="AH83" s="66"/>
      <c r="AI83" s="66"/>
    </row>
    <row r="84" spans="1:35" s="65" customFormat="1" ht="18.75" customHeight="1" x14ac:dyDescent="0.45">
      <c r="A84" s="19">
        <v>80</v>
      </c>
      <c r="B84" s="103" t="s">
        <v>510</v>
      </c>
      <c r="C84" s="66" t="s">
        <v>511</v>
      </c>
      <c r="D84" s="67" t="s">
        <v>512</v>
      </c>
      <c r="E84" s="66" t="s">
        <v>81</v>
      </c>
      <c r="F84" s="66" t="s">
        <v>513</v>
      </c>
      <c r="G84" s="68" t="s">
        <v>514</v>
      </c>
      <c r="H84" s="69">
        <v>0</v>
      </c>
      <c r="I84" s="69" t="s">
        <v>163</v>
      </c>
      <c r="J84" s="69" t="s">
        <v>105</v>
      </c>
      <c r="K84" s="69" t="s">
        <v>74</v>
      </c>
      <c r="L84" s="70" t="s">
        <v>317</v>
      </c>
      <c r="M84" s="71" t="s">
        <v>318</v>
      </c>
      <c r="N84" s="69" t="s">
        <v>515</v>
      </c>
      <c r="O84" s="69" t="s">
        <v>171</v>
      </c>
      <c r="P84" s="66"/>
      <c r="Q84" s="66"/>
      <c r="R84" s="97"/>
      <c r="S84" s="97"/>
      <c r="T84" s="97"/>
      <c r="U84" s="97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93"/>
      <c r="AG84" s="66"/>
      <c r="AH84" s="66"/>
      <c r="AI84" s="66"/>
    </row>
    <row r="85" spans="1:35" ht="18.75" customHeight="1" x14ac:dyDescent="0.45">
      <c r="A85" s="19">
        <v>81</v>
      </c>
      <c r="B85" s="104" t="s">
        <v>516</v>
      </c>
      <c r="C85" s="20" t="s">
        <v>517</v>
      </c>
      <c r="D85" s="22" t="s">
        <v>518</v>
      </c>
      <c r="E85" s="20" t="s">
        <v>130</v>
      </c>
      <c r="F85" s="20" t="s">
        <v>519</v>
      </c>
      <c r="G85" s="23" t="s">
        <v>520</v>
      </c>
      <c r="H85" s="24">
        <v>0</v>
      </c>
      <c r="I85" s="24" t="s">
        <v>163</v>
      </c>
      <c r="J85" s="24" t="s">
        <v>73</v>
      </c>
      <c r="K85" s="24" t="s">
        <v>74</v>
      </c>
      <c r="L85" s="35" t="s">
        <v>317</v>
      </c>
      <c r="M85" s="25" t="s">
        <v>318</v>
      </c>
      <c r="N85" s="24" t="s">
        <v>521</v>
      </c>
      <c r="O85" s="24" t="s">
        <v>275</v>
      </c>
      <c r="P85" s="20"/>
      <c r="Q85" s="20"/>
      <c r="R85" s="96"/>
      <c r="S85" s="96"/>
      <c r="T85" s="96"/>
      <c r="U85" s="96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85"/>
      <c r="AG85" s="20"/>
      <c r="AH85" s="20"/>
      <c r="AI85" s="20"/>
    </row>
    <row r="86" spans="1:35" ht="18.75" customHeight="1" x14ac:dyDescent="0.45">
      <c r="A86" s="19">
        <v>82</v>
      </c>
      <c r="B86" s="104" t="s">
        <v>522</v>
      </c>
      <c r="C86" s="20" t="s">
        <v>523</v>
      </c>
      <c r="D86" s="22" t="s">
        <v>524</v>
      </c>
      <c r="E86" s="20" t="s">
        <v>130</v>
      </c>
      <c r="F86" s="20" t="s">
        <v>525</v>
      </c>
      <c r="G86" s="23" t="s">
        <v>526</v>
      </c>
      <c r="H86" s="24">
        <v>0</v>
      </c>
      <c r="I86" s="24" t="s">
        <v>163</v>
      </c>
      <c r="J86" s="24" t="s">
        <v>176</v>
      </c>
      <c r="K86" s="24" t="s">
        <v>74</v>
      </c>
      <c r="L86" s="35" t="s">
        <v>317</v>
      </c>
      <c r="M86" s="25" t="s">
        <v>318</v>
      </c>
      <c r="N86" s="24" t="s">
        <v>471</v>
      </c>
      <c r="O86" s="24" t="s">
        <v>171</v>
      </c>
      <c r="P86" s="20"/>
      <c r="Q86" s="20"/>
      <c r="R86" s="96"/>
      <c r="S86" s="96"/>
      <c r="T86" s="96"/>
      <c r="U86" s="96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85"/>
      <c r="AG86" s="20"/>
      <c r="AH86" s="20"/>
      <c r="AI86" s="20"/>
    </row>
    <row r="87" spans="1:35" ht="18.75" customHeight="1" x14ac:dyDescent="0.45">
      <c r="A87" s="19">
        <v>83</v>
      </c>
      <c r="B87" s="104" t="s">
        <v>527</v>
      </c>
      <c r="C87" s="20" t="s">
        <v>528</v>
      </c>
      <c r="D87" s="22" t="s">
        <v>529</v>
      </c>
      <c r="E87" s="20" t="s">
        <v>81</v>
      </c>
      <c r="F87" s="20" t="s">
        <v>530</v>
      </c>
      <c r="G87" s="23" t="s">
        <v>531</v>
      </c>
      <c r="H87" s="24">
        <v>0</v>
      </c>
      <c r="I87" s="24" t="s">
        <v>163</v>
      </c>
      <c r="J87" s="24" t="s">
        <v>176</v>
      </c>
      <c r="K87" s="24" t="s">
        <v>74</v>
      </c>
      <c r="L87" s="35" t="s">
        <v>317</v>
      </c>
      <c r="M87" s="25" t="s">
        <v>318</v>
      </c>
      <c r="N87" s="24" t="s">
        <v>459</v>
      </c>
      <c r="O87" s="24" t="s">
        <v>379</v>
      </c>
      <c r="P87" s="20"/>
      <c r="Q87" s="20"/>
      <c r="R87" s="96"/>
      <c r="S87" s="96"/>
      <c r="T87" s="96"/>
      <c r="U87" s="96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85"/>
      <c r="AG87" s="20"/>
      <c r="AH87" s="20"/>
      <c r="AI87" s="20"/>
    </row>
    <row r="88" spans="1:35" ht="18.75" customHeight="1" x14ac:dyDescent="0.45">
      <c r="A88" s="19">
        <v>84</v>
      </c>
      <c r="B88" s="104" t="s">
        <v>532</v>
      </c>
      <c r="C88" s="20" t="s">
        <v>533</v>
      </c>
      <c r="D88" s="22" t="s">
        <v>534</v>
      </c>
      <c r="E88" s="20" t="s">
        <v>81</v>
      </c>
      <c r="F88" s="20" t="s">
        <v>535</v>
      </c>
      <c r="G88" s="23" t="s">
        <v>536</v>
      </c>
      <c r="H88" s="24">
        <v>0</v>
      </c>
      <c r="I88" s="24" t="s">
        <v>163</v>
      </c>
      <c r="J88" s="24" t="s">
        <v>73</v>
      </c>
      <c r="K88" s="24" t="s">
        <v>537</v>
      </c>
      <c r="L88" s="35" t="s">
        <v>538</v>
      </c>
      <c r="M88" s="25" t="s">
        <v>539</v>
      </c>
      <c r="N88" s="24" t="s">
        <v>459</v>
      </c>
      <c r="O88" s="24" t="s">
        <v>379</v>
      </c>
      <c r="P88" s="20"/>
      <c r="Q88" s="20"/>
      <c r="R88" s="96"/>
      <c r="S88" s="96"/>
      <c r="T88" s="96"/>
      <c r="U88" s="96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85"/>
      <c r="AG88" s="20"/>
      <c r="AH88" s="20"/>
      <c r="AI88" s="20"/>
    </row>
    <row r="89" spans="1:35" ht="18.75" customHeight="1" x14ac:dyDescent="0.45">
      <c r="A89" s="19">
        <v>85</v>
      </c>
      <c r="B89" s="104" t="s">
        <v>540</v>
      </c>
      <c r="C89" s="20" t="s">
        <v>541</v>
      </c>
      <c r="D89" s="22" t="s">
        <v>542</v>
      </c>
      <c r="E89" s="20" t="s">
        <v>81</v>
      </c>
      <c r="F89" s="20" t="s">
        <v>543</v>
      </c>
      <c r="G89" s="23" t="s">
        <v>544</v>
      </c>
      <c r="H89" s="24">
        <v>0</v>
      </c>
      <c r="I89" s="24" t="s">
        <v>163</v>
      </c>
      <c r="J89" s="24" t="s">
        <v>545</v>
      </c>
      <c r="K89" s="24" t="s">
        <v>74</v>
      </c>
      <c r="L89" s="35" t="s">
        <v>317</v>
      </c>
      <c r="M89" s="25" t="s">
        <v>318</v>
      </c>
      <c r="N89" s="24" t="s">
        <v>471</v>
      </c>
      <c r="O89" s="24" t="s">
        <v>171</v>
      </c>
      <c r="P89" s="20"/>
      <c r="Q89" s="20"/>
      <c r="R89" s="96"/>
      <c r="S89" s="96"/>
      <c r="T89" s="96"/>
      <c r="U89" s="96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85"/>
      <c r="AG89" s="20"/>
      <c r="AH89" s="20"/>
      <c r="AI89" s="20"/>
    </row>
    <row r="90" spans="1:35" ht="18.75" customHeight="1" x14ac:dyDescent="0.45">
      <c r="A90" s="19">
        <v>86</v>
      </c>
      <c r="B90" s="104" t="s">
        <v>546</v>
      </c>
      <c r="C90" s="105" t="s">
        <v>547</v>
      </c>
      <c r="D90" s="106" t="s">
        <v>548</v>
      </c>
      <c r="E90" s="105" t="s">
        <v>130</v>
      </c>
      <c r="F90" s="20" t="s">
        <v>549</v>
      </c>
      <c r="G90" s="23" t="s">
        <v>544</v>
      </c>
      <c r="H90" s="24">
        <v>0</v>
      </c>
      <c r="I90" s="24" t="s">
        <v>163</v>
      </c>
      <c r="J90" s="19" t="s">
        <v>73</v>
      </c>
      <c r="K90" s="19" t="s">
        <v>74</v>
      </c>
      <c r="L90" s="35" t="s">
        <v>317</v>
      </c>
      <c r="M90" s="25" t="s">
        <v>318</v>
      </c>
      <c r="N90" s="24" t="s">
        <v>550</v>
      </c>
      <c r="O90" s="19"/>
      <c r="P90" s="105"/>
      <c r="Q90" s="105"/>
      <c r="R90" s="107"/>
      <c r="S90" s="107"/>
      <c r="T90" s="107"/>
      <c r="U90" s="107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8"/>
      <c r="AG90" s="105"/>
      <c r="AH90" s="105"/>
      <c r="AI90" s="105"/>
    </row>
    <row r="91" spans="1:35" ht="18.75" customHeight="1" x14ac:dyDescent="0.45">
      <c r="A91" s="19">
        <v>87</v>
      </c>
      <c r="B91" s="104" t="s">
        <v>551</v>
      </c>
      <c r="C91" s="105" t="s">
        <v>552</v>
      </c>
      <c r="D91" s="106" t="s">
        <v>553</v>
      </c>
      <c r="E91" s="105" t="s">
        <v>130</v>
      </c>
      <c r="F91" s="9" t="s">
        <v>554</v>
      </c>
      <c r="G91" s="23" t="s">
        <v>555</v>
      </c>
      <c r="H91" s="24">
        <v>0</v>
      </c>
      <c r="I91" s="24" t="s">
        <v>163</v>
      </c>
      <c r="J91" s="19" t="s">
        <v>545</v>
      </c>
      <c r="K91" s="19" t="s">
        <v>84</v>
      </c>
      <c r="L91" s="35" t="s">
        <v>359</v>
      </c>
      <c r="M91" s="25" t="s">
        <v>556</v>
      </c>
      <c r="N91" s="24" t="s">
        <v>453</v>
      </c>
      <c r="O91" s="19" t="s">
        <v>275</v>
      </c>
      <c r="P91" s="105"/>
      <c r="Q91" s="105"/>
      <c r="R91" s="107"/>
      <c r="S91" s="107"/>
      <c r="T91" s="107"/>
      <c r="U91" s="107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8"/>
      <c r="AG91" s="105"/>
      <c r="AH91" s="105"/>
      <c r="AI91" s="105"/>
    </row>
    <row r="92" spans="1:35" ht="18.75" customHeight="1" x14ac:dyDescent="0.45">
      <c r="A92" s="19">
        <v>88</v>
      </c>
      <c r="B92" s="104" t="s">
        <v>557</v>
      </c>
      <c r="C92" s="105"/>
      <c r="D92" s="106"/>
      <c r="E92" s="105"/>
      <c r="F92" s="105"/>
      <c r="G92" s="109"/>
      <c r="H92" s="19"/>
      <c r="I92" s="19"/>
      <c r="J92" s="19"/>
      <c r="K92" s="19"/>
      <c r="L92" s="24"/>
      <c r="M92" s="25"/>
      <c r="N92" s="24"/>
      <c r="O92" s="19"/>
      <c r="P92" s="105"/>
      <c r="Q92" s="105"/>
      <c r="R92" s="107"/>
      <c r="S92" s="107"/>
      <c r="T92" s="107"/>
      <c r="U92" s="107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8"/>
      <c r="AG92" s="105"/>
      <c r="AH92" s="105"/>
      <c r="AI92" s="105"/>
    </row>
  </sheetData>
  <autoFilter ref="B4:AI92" xr:uid="{00000000-0009-0000-0000-000000000000}"/>
  <mergeCells count="1">
    <mergeCell ref="B1:AI2"/>
  </mergeCells>
  <pageMargins left="0.25" right="0" top="0.25" bottom="0.25" header="0.51180555555555496" footer="0.51180555555555496"/>
  <pageSetup paperSize="9" scale="9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5"/>
  <sheetViews>
    <sheetView zoomScale="77" workbookViewId="0">
      <selection activeCell="D9" sqref="D9"/>
    </sheetView>
  </sheetViews>
  <sheetFormatPr defaultColWidth="9" defaultRowHeight="14.5" x14ac:dyDescent="0.35"/>
  <cols>
    <col min="1" max="2" width="8.453125" customWidth="1"/>
    <col min="3" max="4" width="13.36328125" style="110" customWidth="1"/>
    <col min="5" max="5" width="11" style="110" customWidth="1"/>
    <col min="6" max="6" width="14.08984375" style="110" customWidth="1"/>
    <col min="7" max="7" width="14.08984375" style="111" customWidth="1"/>
    <col min="8" max="8" width="11" style="112" customWidth="1"/>
    <col min="9" max="9" width="14.08984375" style="112" customWidth="1"/>
    <col min="10" max="10" width="10.453125" customWidth="1"/>
    <col min="11" max="1025" width="8.453125" customWidth="1"/>
  </cols>
  <sheetData>
    <row r="1" spans="1:10" x14ac:dyDescent="0.35">
      <c r="G1" s="110"/>
    </row>
    <row r="2" spans="1:10" x14ac:dyDescent="0.35">
      <c r="G2" s="110"/>
    </row>
    <row r="3" spans="1:10" x14ac:dyDescent="0.35">
      <c r="G3" s="110"/>
    </row>
    <row r="4" spans="1:10" x14ac:dyDescent="0.35">
      <c r="A4" s="113" t="s">
        <v>558</v>
      </c>
      <c r="B4" s="113" t="s">
        <v>559</v>
      </c>
      <c r="C4" s="114" t="s">
        <v>560</v>
      </c>
      <c r="D4" s="115" t="s">
        <v>561</v>
      </c>
      <c r="E4" s="114" t="s">
        <v>562</v>
      </c>
      <c r="F4" s="114" t="s">
        <v>563</v>
      </c>
      <c r="G4" s="116" t="s">
        <v>564</v>
      </c>
      <c r="H4" s="116" t="s">
        <v>562</v>
      </c>
      <c r="I4" s="116" t="s">
        <v>563</v>
      </c>
    </row>
    <row r="5" spans="1:10" x14ac:dyDescent="0.35">
      <c r="A5" s="113" t="s">
        <v>74</v>
      </c>
      <c r="B5" s="117" t="s">
        <v>210</v>
      </c>
      <c r="C5" s="118">
        <v>800000</v>
      </c>
      <c r="D5" s="118">
        <v>20000</v>
      </c>
      <c r="E5" s="118">
        <v>15000</v>
      </c>
      <c r="F5" s="118">
        <v>375000</v>
      </c>
      <c r="G5" s="116">
        <v>800000</v>
      </c>
      <c r="H5" s="116">
        <v>15000</v>
      </c>
      <c r="I5" s="116">
        <v>375000</v>
      </c>
    </row>
    <row r="6" spans="1:10" x14ac:dyDescent="0.35">
      <c r="A6" s="113"/>
      <c r="B6" s="113" t="s">
        <v>565</v>
      </c>
      <c r="C6" s="114">
        <v>820000</v>
      </c>
      <c r="D6" s="114">
        <v>20000</v>
      </c>
      <c r="E6" s="114">
        <v>15000</v>
      </c>
      <c r="F6" s="114">
        <v>375000</v>
      </c>
      <c r="G6" s="116">
        <f t="shared" ref="G6:G14" si="0">G5+25000</f>
        <v>825000</v>
      </c>
      <c r="H6" s="116">
        <v>15000</v>
      </c>
      <c r="I6" s="116">
        <v>375000</v>
      </c>
      <c r="J6" s="119"/>
    </row>
    <row r="7" spans="1:10" x14ac:dyDescent="0.35">
      <c r="A7" s="113"/>
      <c r="B7" s="113" t="s">
        <v>170</v>
      </c>
      <c r="C7" s="114">
        <v>840000</v>
      </c>
      <c r="D7" s="114">
        <v>20000</v>
      </c>
      <c r="E7" s="114">
        <v>15000</v>
      </c>
      <c r="F7" s="114">
        <v>375000</v>
      </c>
      <c r="G7" s="116">
        <f t="shared" si="0"/>
        <v>850000</v>
      </c>
      <c r="H7" s="116">
        <v>15000</v>
      </c>
      <c r="I7" s="116">
        <v>375000</v>
      </c>
      <c r="J7" s="119"/>
    </row>
    <row r="8" spans="1:10" x14ac:dyDescent="0.35">
      <c r="A8" s="113"/>
      <c r="B8" s="113" t="s">
        <v>566</v>
      </c>
      <c r="C8" s="114">
        <v>860000</v>
      </c>
      <c r="D8" s="114">
        <v>20000</v>
      </c>
      <c r="E8" s="114">
        <v>15000</v>
      </c>
      <c r="F8" s="114">
        <v>375000</v>
      </c>
      <c r="G8" s="116">
        <f t="shared" si="0"/>
        <v>875000</v>
      </c>
      <c r="H8" s="116">
        <v>15000</v>
      </c>
      <c r="I8" s="116">
        <v>375000</v>
      </c>
      <c r="J8" s="119"/>
    </row>
    <row r="9" spans="1:10" x14ac:dyDescent="0.35">
      <c r="A9" s="113"/>
      <c r="B9" s="113" t="s">
        <v>76</v>
      </c>
      <c r="C9" s="114">
        <v>880000</v>
      </c>
      <c r="D9" s="114">
        <v>20000</v>
      </c>
      <c r="E9" s="114">
        <v>15000</v>
      </c>
      <c r="F9" s="114">
        <v>375000</v>
      </c>
      <c r="G9" s="116">
        <f t="shared" si="0"/>
        <v>900000</v>
      </c>
      <c r="H9" s="116">
        <v>15000</v>
      </c>
      <c r="I9" s="116">
        <v>375000</v>
      </c>
      <c r="J9" s="119"/>
    </row>
    <row r="10" spans="1:10" x14ac:dyDescent="0.35">
      <c r="A10" s="113"/>
      <c r="B10" s="113" t="s">
        <v>567</v>
      </c>
      <c r="C10" s="114">
        <v>900000</v>
      </c>
      <c r="D10" s="114">
        <v>20000</v>
      </c>
      <c r="E10" s="114">
        <v>15000</v>
      </c>
      <c r="F10" s="114">
        <v>375000</v>
      </c>
      <c r="G10" s="116">
        <f t="shared" si="0"/>
        <v>925000</v>
      </c>
      <c r="H10" s="116">
        <v>15000</v>
      </c>
      <c r="I10" s="116">
        <v>375000</v>
      </c>
      <c r="J10" s="119"/>
    </row>
    <row r="11" spans="1:10" x14ac:dyDescent="0.35">
      <c r="A11" s="113"/>
      <c r="B11" s="113" t="s">
        <v>238</v>
      </c>
      <c r="C11" s="114">
        <v>920000</v>
      </c>
      <c r="D11" s="114">
        <v>20000</v>
      </c>
      <c r="E11" s="114">
        <v>15000</v>
      </c>
      <c r="F11" s="114">
        <v>375000</v>
      </c>
      <c r="G11" s="116">
        <f t="shared" si="0"/>
        <v>950000</v>
      </c>
      <c r="H11" s="116">
        <v>15000</v>
      </c>
      <c r="I11" s="116">
        <v>375000</v>
      </c>
      <c r="J11" s="119"/>
    </row>
    <row r="12" spans="1:10" x14ac:dyDescent="0.35">
      <c r="A12" s="113"/>
      <c r="B12" s="113" t="s">
        <v>568</v>
      </c>
      <c r="C12" s="114">
        <v>940000</v>
      </c>
      <c r="D12" s="114">
        <v>20000</v>
      </c>
      <c r="E12" s="114">
        <v>15000</v>
      </c>
      <c r="F12" s="114">
        <v>375000</v>
      </c>
      <c r="G12" s="116">
        <f t="shared" si="0"/>
        <v>975000</v>
      </c>
      <c r="H12" s="116">
        <v>15000</v>
      </c>
      <c r="I12" s="116">
        <v>375000</v>
      </c>
      <c r="J12" s="119"/>
    </row>
    <row r="13" spans="1:10" x14ac:dyDescent="0.35">
      <c r="A13" s="113"/>
      <c r="B13" s="113" t="s">
        <v>569</v>
      </c>
      <c r="C13" s="114">
        <v>960000</v>
      </c>
      <c r="D13" s="114">
        <v>20000</v>
      </c>
      <c r="E13" s="114">
        <v>15000</v>
      </c>
      <c r="F13" s="114">
        <v>375000</v>
      </c>
      <c r="G13" s="116">
        <f t="shared" si="0"/>
        <v>1000000</v>
      </c>
      <c r="H13" s="116">
        <v>15000</v>
      </c>
      <c r="I13" s="116">
        <v>375000</v>
      </c>
      <c r="J13" s="119"/>
    </row>
    <row r="14" spans="1:10" x14ac:dyDescent="0.35">
      <c r="A14" s="113"/>
      <c r="B14" s="113" t="s">
        <v>570</v>
      </c>
      <c r="C14" s="114">
        <v>980000</v>
      </c>
      <c r="D14" s="114">
        <v>20000</v>
      </c>
      <c r="E14" s="114">
        <v>15000</v>
      </c>
      <c r="F14" s="114">
        <v>375000</v>
      </c>
      <c r="G14" s="116">
        <f t="shared" si="0"/>
        <v>1025000</v>
      </c>
      <c r="H14" s="116">
        <v>15000</v>
      </c>
      <c r="I14" s="116">
        <f t="shared" ref="I14:I77" si="1">H14*25</f>
        <v>375000</v>
      </c>
      <c r="J14" s="119"/>
    </row>
    <row r="15" spans="1:10" x14ac:dyDescent="0.35">
      <c r="A15" s="113"/>
      <c r="B15" s="117" t="s">
        <v>204</v>
      </c>
      <c r="C15" s="118">
        <v>930000</v>
      </c>
      <c r="D15" s="118">
        <v>10000</v>
      </c>
      <c r="E15" s="118">
        <v>15000</v>
      </c>
      <c r="F15" s="118">
        <v>375000</v>
      </c>
      <c r="G15" s="120">
        <f>G14+50000</f>
        <v>1075000</v>
      </c>
      <c r="H15" s="120">
        <v>16000</v>
      </c>
      <c r="I15" s="116">
        <f t="shared" si="1"/>
        <v>400000</v>
      </c>
      <c r="J15" s="119"/>
    </row>
    <row r="16" spans="1:10" x14ac:dyDescent="0.35">
      <c r="A16" s="113"/>
      <c r="B16" s="113" t="s">
        <v>571</v>
      </c>
      <c r="C16" s="114">
        <v>950000</v>
      </c>
      <c r="D16" s="114">
        <v>20000</v>
      </c>
      <c r="E16" s="114">
        <v>15000</v>
      </c>
      <c r="F16" s="114">
        <v>375000</v>
      </c>
      <c r="G16" s="116">
        <f t="shared" ref="G16:G24" si="2">G15+25000</f>
        <v>1100000</v>
      </c>
      <c r="H16" s="120">
        <v>16000</v>
      </c>
      <c r="I16" s="116">
        <f t="shared" si="1"/>
        <v>400000</v>
      </c>
      <c r="J16" s="119"/>
    </row>
    <row r="17" spans="1:10" x14ac:dyDescent="0.35">
      <c r="A17" s="113"/>
      <c r="B17" s="113" t="s">
        <v>194</v>
      </c>
      <c r="C17" s="114">
        <v>970000</v>
      </c>
      <c r="D17" s="114">
        <v>20000</v>
      </c>
      <c r="E17" s="114">
        <v>15000</v>
      </c>
      <c r="F17" s="114">
        <v>375000</v>
      </c>
      <c r="G17" s="116">
        <f t="shared" si="2"/>
        <v>1125000</v>
      </c>
      <c r="H17" s="120">
        <v>16000</v>
      </c>
      <c r="I17" s="116">
        <f t="shared" si="1"/>
        <v>400000</v>
      </c>
      <c r="J17" s="119"/>
    </row>
    <row r="18" spans="1:10" x14ac:dyDescent="0.35">
      <c r="A18" s="113"/>
      <c r="B18" s="113" t="s">
        <v>572</v>
      </c>
      <c r="C18" s="114">
        <v>990000</v>
      </c>
      <c r="D18" s="114">
        <v>20000</v>
      </c>
      <c r="E18" s="114">
        <v>15000</v>
      </c>
      <c r="F18" s="114">
        <v>375000</v>
      </c>
      <c r="G18" s="116">
        <f t="shared" si="2"/>
        <v>1150000</v>
      </c>
      <c r="H18" s="120">
        <v>16000</v>
      </c>
      <c r="I18" s="116">
        <f t="shared" si="1"/>
        <v>400000</v>
      </c>
      <c r="J18" s="119"/>
    </row>
    <row r="19" spans="1:10" x14ac:dyDescent="0.35">
      <c r="A19" s="113"/>
      <c r="B19" s="113" t="s">
        <v>113</v>
      </c>
      <c r="C19" s="114">
        <v>1010000</v>
      </c>
      <c r="D19" s="114">
        <v>20000</v>
      </c>
      <c r="E19" s="114">
        <v>15000</v>
      </c>
      <c r="F19" s="114">
        <v>375000</v>
      </c>
      <c r="G19" s="116">
        <f t="shared" si="2"/>
        <v>1175000</v>
      </c>
      <c r="H19" s="120">
        <v>16000</v>
      </c>
      <c r="I19" s="116">
        <f t="shared" si="1"/>
        <v>400000</v>
      </c>
      <c r="J19" s="119"/>
    </row>
    <row r="20" spans="1:10" x14ac:dyDescent="0.35">
      <c r="A20" s="113"/>
      <c r="B20" s="113" t="s">
        <v>573</v>
      </c>
      <c r="C20" s="114">
        <v>1030000</v>
      </c>
      <c r="D20" s="114">
        <v>20000</v>
      </c>
      <c r="E20" s="114">
        <v>15000</v>
      </c>
      <c r="F20" s="114">
        <v>375000</v>
      </c>
      <c r="G20" s="116">
        <f t="shared" si="2"/>
        <v>1200000</v>
      </c>
      <c r="H20" s="120">
        <v>16000</v>
      </c>
      <c r="I20" s="116">
        <f t="shared" si="1"/>
        <v>400000</v>
      </c>
      <c r="J20" s="119"/>
    </row>
    <row r="21" spans="1:10" x14ac:dyDescent="0.35">
      <c r="A21" s="113"/>
      <c r="B21" s="113" t="s">
        <v>263</v>
      </c>
      <c r="C21" s="114">
        <v>1050000</v>
      </c>
      <c r="D21" s="114">
        <v>20000</v>
      </c>
      <c r="E21" s="114">
        <v>15000</v>
      </c>
      <c r="F21" s="114">
        <v>375000</v>
      </c>
      <c r="G21" s="116">
        <f t="shared" si="2"/>
        <v>1225000</v>
      </c>
      <c r="H21" s="120">
        <v>16000</v>
      </c>
      <c r="I21" s="116">
        <f t="shared" si="1"/>
        <v>400000</v>
      </c>
      <c r="J21" s="119"/>
    </row>
    <row r="22" spans="1:10" x14ac:dyDescent="0.35">
      <c r="A22" s="113"/>
      <c r="B22" s="113" t="s">
        <v>574</v>
      </c>
      <c r="C22" s="114">
        <v>1070000</v>
      </c>
      <c r="D22" s="114">
        <v>20000</v>
      </c>
      <c r="E22" s="114">
        <v>15000</v>
      </c>
      <c r="F22" s="114">
        <v>375000</v>
      </c>
      <c r="G22" s="116">
        <f t="shared" si="2"/>
        <v>1250000</v>
      </c>
      <c r="H22" s="120">
        <v>16000</v>
      </c>
      <c r="I22" s="116">
        <f t="shared" si="1"/>
        <v>400000</v>
      </c>
      <c r="J22" s="119"/>
    </row>
    <row r="23" spans="1:10" x14ac:dyDescent="0.35">
      <c r="A23" s="113"/>
      <c r="B23" s="113" t="s">
        <v>157</v>
      </c>
      <c r="C23" s="114">
        <v>1090000</v>
      </c>
      <c r="D23" s="114">
        <v>20000</v>
      </c>
      <c r="E23" s="114">
        <v>15000</v>
      </c>
      <c r="F23" s="114">
        <v>375000</v>
      </c>
      <c r="G23" s="116">
        <f t="shared" si="2"/>
        <v>1275000</v>
      </c>
      <c r="H23" s="120">
        <v>16000</v>
      </c>
      <c r="I23" s="116">
        <f t="shared" si="1"/>
        <v>400000</v>
      </c>
      <c r="J23" s="119"/>
    </row>
    <row r="24" spans="1:10" x14ac:dyDescent="0.35">
      <c r="A24" s="113"/>
      <c r="B24" s="113" t="s">
        <v>575</v>
      </c>
      <c r="C24" s="114">
        <v>1110000</v>
      </c>
      <c r="D24" s="114">
        <v>20000</v>
      </c>
      <c r="E24" s="114">
        <v>15000</v>
      </c>
      <c r="F24" s="114">
        <v>375000</v>
      </c>
      <c r="G24" s="116">
        <f t="shared" si="2"/>
        <v>1300000</v>
      </c>
      <c r="H24" s="120">
        <v>16000</v>
      </c>
      <c r="I24" s="116">
        <f t="shared" si="1"/>
        <v>400000</v>
      </c>
      <c r="J24" s="119"/>
    </row>
    <row r="25" spans="1:10" x14ac:dyDescent="0.35">
      <c r="A25" s="113" t="s">
        <v>576</v>
      </c>
      <c r="B25" s="117" t="s">
        <v>143</v>
      </c>
      <c r="C25" s="118">
        <v>1020000</v>
      </c>
      <c r="D25" s="118">
        <v>-30000</v>
      </c>
      <c r="E25" s="118">
        <v>15000</v>
      </c>
      <c r="F25" s="118">
        <v>375000</v>
      </c>
      <c r="G25" s="120">
        <f>G24+50000</f>
        <v>1350000</v>
      </c>
      <c r="H25" s="120">
        <v>17000</v>
      </c>
      <c r="I25" s="116">
        <f t="shared" si="1"/>
        <v>425000</v>
      </c>
      <c r="J25" s="119"/>
    </row>
    <row r="26" spans="1:10" x14ac:dyDescent="0.35">
      <c r="A26" s="113"/>
      <c r="B26" s="113" t="s">
        <v>577</v>
      </c>
      <c r="C26" s="114">
        <v>1040000</v>
      </c>
      <c r="D26" s="114">
        <v>20000</v>
      </c>
      <c r="E26" s="114">
        <v>15000</v>
      </c>
      <c r="F26" s="114">
        <v>375000</v>
      </c>
      <c r="G26" s="116">
        <f t="shared" ref="G26:G34" si="3">G25+25000</f>
        <v>1375000</v>
      </c>
      <c r="H26" s="120">
        <v>17000</v>
      </c>
      <c r="I26" s="116">
        <f t="shared" si="1"/>
        <v>425000</v>
      </c>
      <c r="J26" s="119"/>
    </row>
    <row r="27" spans="1:10" x14ac:dyDescent="0.35">
      <c r="A27" s="113"/>
      <c r="B27" s="113" t="s">
        <v>578</v>
      </c>
      <c r="C27" s="114">
        <v>1060000</v>
      </c>
      <c r="D27" s="114">
        <v>20000</v>
      </c>
      <c r="E27" s="114">
        <v>15000</v>
      </c>
      <c r="F27" s="114">
        <v>375000</v>
      </c>
      <c r="G27" s="116">
        <f t="shared" si="3"/>
        <v>1400000</v>
      </c>
      <c r="H27" s="120">
        <v>17000</v>
      </c>
      <c r="I27" s="116">
        <f t="shared" si="1"/>
        <v>425000</v>
      </c>
      <c r="J27" s="119"/>
    </row>
    <row r="28" spans="1:10" x14ac:dyDescent="0.35">
      <c r="A28" s="113"/>
      <c r="B28" s="113" t="s">
        <v>579</v>
      </c>
      <c r="C28" s="114">
        <v>1080000</v>
      </c>
      <c r="D28" s="114">
        <v>20000</v>
      </c>
      <c r="E28" s="114">
        <v>15000</v>
      </c>
      <c r="F28" s="114">
        <v>375000</v>
      </c>
      <c r="G28" s="116">
        <f t="shared" si="3"/>
        <v>1425000</v>
      </c>
      <c r="H28" s="120">
        <v>17000</v>
      </c>
      <c r="I28" s="116">
        <f t="shared" si="1"/>
        <v>425000</v>
      </c>
      <c r="J28" s="119"/>
    </row>
    <row r="29" spans="1:10" x14ac:dyDescent="0.35">
      <c r="A29" s="113"/>
      <c r="B29" s="113" t="s">
        <v>106</v>
      </c>
      <c r="C29" s="114">
        <v>1100000</v>
      </c>
      <c r="D29" s="114">
        <v>20000</v>
      </c>
      <c r="E29" s="114">
        <v>15000</v>
      </c>
      <c r="F29" s="114">
        <v>375000</v>
      </c>
      <c r="G29" s="116">
        <f t="shared" si="3"/>
        <v>1450000</v>
      </c>
      <c r="H29" s="120">
        <v>17000</v>
      </c>
      <c r="I29" s="116">
        <f t="shared" si="1"/>
        <v>425000</v>
      </c>
      <c r="J29" s="119"/>
    </row>
    <row r="30" spans="1:10" x14ac:dyDescent="0.35">
      <c r="A30" s="113"/>
      <c r="B30" s="113" t="s">
        <v>580</v>
      </c>
      <c r="C30" s="114">
        <v>1120000</v>
      </c>
      <c r="D30" s="114">
        <v>20000</v>
      </c>
      <c r="E30" s="114">
        <v>15000</v>
      </c>
      <c r="F30" s="114">
        <v>375000</v>
      </c>
      <c r="G30" s="116">
        <f t="shared" si="3"/>
        <v>1475000</v>
      </c>
      <c r="H30" s="120">
        <v>17000</v>
      </c>
      <c r="I30" s="116">
        <f t="shared" si="1"/>
        <v>425000</v>
      </c>
      <c r="J30" s="119"/>
    </row>
    <row r="31" spans="1:10" x14ac:dyDescent="0.35">
      <c r="A31" s="113"/>
      <c r="B31" s="113" t="s">
        <v>257</v>
      </c>
      <c r="C31" s="114">
        <v>1140000</v>
      </c>
      <c r="D31" s="114">
        <v>20000</v>
      </c>
      <c r="E31" s="114">
        <v>15000</v>
      </c>
      <c r="F31" s="114">
        <v>375000</v>
      </c>
      <c r="G31" s="116">
        <f t="shared" si="3"/>
        <v>1500000</v>
      </c>
      <c r="H31" s="120">
        <v>17000</v>
      </c>
      <c r="I31" s="116">
        <f t="shared" si="1"/>
        <v>425000</v>
      </c>
      <c r="J31" s="119"/>
    </row>
    <row r="32" spans="1:10" x14ac:dyDescent="0.35">
      <c r="A32" s="113"/>
      <c r="B32" s="113" t="s">
        <v>581</v>
      </c>
      <c r="C32" s="114">
        <v>1160000</v>
      </c>
      <c r="D32" s="114">
        <v>20000</v>
      </c>
      <c r="E32" s="114">
        <v>15000</v>
      </c>
      <c r="F32" s="114">
        <v>375000</v>
      </c>
      <c r="G32" s="116">
        <f t="shared" si="3"/>
        <v>1525000</v>
      </c>
      <c r="H32" s="120">
        <v>17000</v>
      </c>
      <c r="I32" s="116">
        <f t="shared" si="1"/>
        <v>425000</v>
      </c>
      <c r="J32" s="119"/>
    </row>
    <row r="33" spans="1:10" x14ac:dyDescent="0.35">
      <c r="A33" s="113"/>
      <c r="B33" s="113" t="s">
        <v>582</v>
      </c>
      <c r="C33" s="114">
        <v>1180000</v>
      </c>
      <c r="D33" s="114">
        <v>20000</v>
      </c>
      <c r="E33" s="114">
        <v>15000</v>
      </c>
      <c r="F33" s="114">
        <v>375000</v>
      </c>
      <c r="G33" s="116">
        <f t="shared" si="3"/>
        <v>1550000</v>
      </c>
      <c r="H33" s="120">
        <v>17000</v>
      </c>
      <c r="I33" s="116">
        <f t="shared" si="1"/>
        <v>425000</v>
      </c>
      <c r="J33" s="119"/>
    </row>
    <row r="34" spans="1:10" x14ac:dyDescent="0.35">
      <c r="A34" s="113"/>
      <c r="B34" s="113" t="s">
        <v>583</v>
      </c>
      <c r="C34" s="114">
        <v>1200000</v>
      </c>
      <c r="D34" s="114">
        <v>20000</v>
      </c>
      <c r="E34" s="114">
        <v>15000</v>
      </c>
      <c r="F34" s="114">
        <v>375000</v>
      </c>
      <c r="G34" s="116">
        <f t="shared" si="3"/>
        <v>1575000</v>
      </c>
      <c r="H34" s="120">
        <v>17000</v>
      </c>
      <c r="I34" s="116">
        <f t="shared" si="1"/>
        <v>425000</v>
      </c>
      <c r="J34" s="119"/>
    </row>
    <row r="35" spans="1:10" x14ac:dyDescent="0.35">
      <c r="A35" s="113" t="s">
        <v>584</v>
      </c>
      <c r="B35" s="121" t="s">
        <v>93</v>
      </c>
      <c r="C35" s="122">
        <v>1190000</v>
      </c>
      <c r="D35" s="122">
        <v>50000</v>
      </c>
      <c r="E35" s="122">
        <v>17500</v>
      </c>
      <c r="F35" s="123">
        <v>437500</v>
      </c>
      <c r="G35" s="120">
        <f>G34+75000</f>
        <v>1650000</v>
      </c>
      <c r="H35" s="120">
        <v>18000</v>
      </c>
      <c r="I35" s="116">
        <f t="shared" si="1"/>
        <v>450000</v>
      </c>
      <c r="J35" s="119"/>
    </row>
    <row r="36" spans="1:10" x14ac:dyDescent="0.35">
      <c r="A36" s="113"/>
      <c r="B36" s="113" t="s">
        <v>585</v>
      </c>
      <c r="C36" s="114">
        <v>1215000</v>
      </c>
      <c r="D36" s="114">
        <v>25000</v>
      </c>
      <c r="E36" s="114">
        <v>17500</v>
      </c>
      <c r="F36" s="114">
        <v>437500</v>
      </c>
      <c r="G36" s="116">
        <f t="shared" ref="G36:G44" si="4">G35+25000</f>
        <v>1675000</v>
      </c>
      <c r="H36" s="120">
        <v>18000</v>
      </c>
      <c r="I36" s="116">
        <f t="shared" si="1"/>
        <v>450000</v>
      </c>
      <c r="J36" s="119"/>
    </row>
    <row r="37" spans="1:10" x14ac:dyDescent="0.35">
      <c r="A37" s="113"/>
      <c r="B37" s="113" t="s">
        <v>586</v>
      </c>
      <c r="C37" s="114">
        <v>1240000</v>
      </c>
      <c r="D37" s="114">
        <v>25000</v>
      </c>
      <c r="E37" s="114">
        <v>17500</v>
      </c>
      <c r="F37" s="114">
        <v>437500</v>
      </c>
      <c r="G37" s="116">
        <f t="shared" si="4"/>
        <v>1700000</v>
      </c>
      <c r="H37" s="120">
        <v>18000</v>
      </c>
      <c r="I37" s="116">
        <f t="shared" si="1"/>
        <v>450000</v>
      </c>
      <c r="J37" s="119"/>
    </row>
    <row r="38" spans="1:10" x14ac:dyDescent="0.35">
      <c r="A38" s="113"/>
      <c r="B38" s="113" t="s">
        <v>587</v>
      </c>
      <c r="C38" s="114">
        <v>1265000</v>
      </c>
      <c r="D38" s="114">
        <v>25000</v>
      </c>
      <c r="E38" s="114">
        <v>17500</v>
      </c>
      <c r="F38" s="114">
        <v>437500</v>
      </c>
      <c r="G38" s="116">
        <f t="shared" si="4"/>
        <v>1725000</v>
      </c>
      <c r="H38" s="120">
        <v>18000</v>
      </c>
      <c r="I38" s="116">
        <f t="shared" si="1"/>
        <v>450000</v>
      </c>
      <c r="J38" s="119"/>
    </row>
    <row r="39" spans="1:10" x14ac:dyDescent="0.35">
      <c r="A39" s="113"/>
      <c r="B39" s="113" t="s">
        <v>588</v>
      </c>
      <c r="C39" s="114">
        <v>1290000</v>
      </c>
      <c r="D39" s="114">
        <v>25000</v>
      </c>
      <c r="E39" s="114">
        <v>17500</v>
      </c>
      <c r="F39" s="114">
        <v>437500</v>
      </c>
      <c r="G39" s="116">
        <f t="shared" si="4"/>
        <v>1750000</v>
      </c>
      <c r="H39" s="120">
        <v>18000</v>
      </c>
      <c r="I39" s="116">
        <f t="shared" si="1"/>
        <v>450000</v>
      </c>
      <c r="J39" s="119"/>
    </row>
    <row r="40" spans="1:10" x14ac:dyDescent="0.35">
      <c r="A40" s="113"/>
      <c r="B40" s="113" t="s">
        <v>589</v>
      </c>
      <c r="C40" s="114">
        <v>1315000</v>
      </c>
      <c r="D40" s="114">
        <v>25000</v>
      </c>
      <c r="E40" s="114">
        <v>17500</v>
      </c>
      <c r="F40" s="114">
        <v>437500</v>
      </c>
      <c r="G40" s="116">
        <f t="shared" si="4"/>
        <v>1775000</v>
      </c>
      <c r="H40" s="120">
        <v>18000</v>
      </c>
      <c r="I40" s="116">
        <f t="shared" si="1"/>
        <v>450000</v>
      </c>
      <c r="J40" s="119"/>
    </row>
    <row r="41" spans="1:10" x14ac:dyDescent="0.35">
      <c r="A41" s="113"/>
      <c r="B41" s="113" t="s">
        <v>590</v>
      </c>
      <c r="C41" s="114">
        <v>1340000</v>
      </c>
      <c r="D41" s="114">
        <v>25000</v>
      </c>
      <c r="E41" s="114">
        <v>17500</v>
      </c>
      <c r="F41" s="114">
        <v>437500</v>
      </c>
      <c r="G41" s="116">
        <f t="shared" si="4"/>
        <v>1800000</v>
      </c>
      <c r="H41" s="120">
        <v>18000</v>
      </c>
      <c r="I41" s="116">
        <f t="shared" si="1"/>
        <v>450000</v>
      </c>
      <c r="J41" s="119"/>
    </row>
    <row r="42" spans="1:10" x14ac:dyDescent="0.35">
      <c r="A42" s="113"/>
      <c r="B42" s="113" t="s">
        <v>591</v>
      </c>
      <c r="C42" s="114">
        <v>1365000</v>
      </c>
      <c r="D42" s="114">
        <v>25000</v>
      </c>
      <c r="E42" s="114">
        <v>17500</v>
      </c>
      <c r="F42" s="114">
        <v>437500</v>
      </c>
      <c r="G42" s="116">
        <f t="shared" si="4"/>
        <v>1825000</v>
      </c>
      <c r="H42" s="120">
        <v>18000</v>
      </c>
      <c r="I42" s="116">
        <f t="shared" si="1"/>
        <v>450000</v>
      </c>
      <c r="J42" s="119"/>
    </row>
    <row r="43" spans="1:10" x14ac:dyDescent="0.35">
      <c r="A43" s="113"/>
      <c r="B43" s="113" t="s">
        <v>592</v>
      </c>
      <c r="C43" s="114">
        <v>1390000</v>
      </c>
      <c r="D43" s="114">
        <v>25000</v>
      </c>
      <c r="E43" s="114">
        <v>17500</v>
      </c>
      <c r="F43" s="114">
        <v>437500</v>
      </c>
      <c r="G43" s="116">
        <f t="shared" si="4"/>
        <v>1850000</v>
      </c>
      <c r="H43" s="120">
        <v>18000</v>
      </c>
      <c r="I43" s="116">
        <f t="shared" si="1"/>
        <v>450000</v>
      </c>
      <c r="J43" s="119"/>
    </row>
    <row r="44" spans="1:10" x14ac:dyDescent="0.35">
      <c r="A44" s="113"/>
      <c r="B44" s="113" t="s">
        <v>593</v>
      </c>
      <c r="C44" s="114">
        <v>1415000</v>
      </c>
      <c r="D44" s="114">
        <v>25000</v>
      </c>
      <c r="E44" s="114">
        <v>17500</v>
      </c>
      <c r="F44" s="114">
        <v>437500</v>
      </c>
      <c r="G44" s="116">
        <f t="shared" si="4"/>
        <v>1875000</v>
      </c>
      <c r="H44" s="120">
        <v>18000</v>
      </c>
      <c r="I44" s="116">
        <f t="shared" si="1"/>
        <v>450000</v>
      </c>
      <c r="J44" s="119"/>
    </row>
    <row r="45" spans="1:10" s="110" customFormat="1" x14ac:dyDescent="0.35">
      <c r="A45" s="113"/>
      <c r="B45" s="121" t="s">
        <v>152</v>
      </c>
      <c r="C45" s="122">
        <v>1380000</v>
      </c>
      <c r="D45" s="122">
        <v>40000</v>
      </c>
      <c r="E45" s="122">
        <v>17500</v>
      </c>
      <c r="F45" s="122">
        <v>437500</v>
      </c>
      <c r="G45" s="111">
        <f>G44+50000</f>
        <v>1925000</v>
      </c>
      <c r="H45" s="111">
        <v>19000</v>
      </c>
      <c r="I45" s="116">
        <f t="shared" si="1"/>
        <v>475000</v>
      </c>
      <c r="J45" s="119"/>
    </row>
    <row r="46" spans="1:10" s="110" customFormat="1" x14ac:dyDescent="0.35">
      <c r="A46" s="113"/>
      <c r="B46" s="113" t="s">
        <v>594</v>
      </c>
      <c r="C46" s="114">
        <v>1405000</v>
      </c>
      <c r="D46" s="114">
        <v>25000</v>
      </c>
      <c r="E46" s="114">
        <v>17500</v>
      </c>
      <c r="F46" s="114">
        <v>437500</v>
      </c>
      <c r="G46" s="116">
        <f t="shared" ref="G46:G54" si="5">G45+25000</f>
        <v>1950000</v>
      </c>
      <c r="H46" s="111">
        <v>19000</v>
      </c>
      <c r="I46" s="116">
        <f t="shared" si="1"/>
        <v>475000</v>
      </c>
      <c r="J46" s="119"/>
    </row>
    <row r="47" spans="1:10" s="110" customFormat="1" x14ac:dyDescent="0.35">
      <c r="A47" s="113"/>
      <c r="B47" s="113" t="s">
        <v>595</v>
      </c>
      <c r="C47" s="114">
        <v>1430000</v>
      </c>
      <c r="D47" s="114">
        <v>25000</v>
      </c>
      <c r="E47" s="114">
        <v>17500</v>
      </c>
      <c r="F47" s="114">
        <v>437500</v>
      </c>
      <c r="G47" s="116">
        <f t="shared" si="5"/>
        <v>1975000</v>
      </c>
      <c r="H47" s="111">
        <v>19000</v>
      </c>
      <c r="I47" s="116">
        <f t="shared" si="1"/>
        <v>475000</v>
      </c>
      <c r="J47" s="119"/>
    </row>
    <row r="48" spans="1:10" s="110" customFormat="1" x14ac:dyDescent="0.35">
      <c r="A48" s="113"/>
      <c r="B48" s="113" t="s">
        <v>596</v>
      </c>
      <c r="C48" s="114">
        <v>1455000</v>
      </c>
      <c r="D48" s="114">
        <v>25000</v>
      </c>
      <c r="E48" s="114">
        <v>17500</v>
      </c>
      <c r="F48" s="114">
        <v>437500</v>
      </c>
      <c r="G48" s="116">
        <f t="shared" si="5"/>
        <v>2000000</v>
      </c>
      <c r="H48" s="111">
        <v>19000</v>
      </c>
      <c r="I48" s="116">
        <f t="shared" si="1"/>
        <v>475000</v>
      </c>
      <c r="J48" s="119"/>
    </row>
    <row r="49" spans="1:10" s="110" customFormat="1" x14ac:dyDescent="0.35">
      <c r="A49" s="113"/>
      <c r="B49" s="113" t="s">
        <v>597</v>
      </c>
      <c r="C49" s="114">
        <v>1480000</v>
      </c>
      <c r="D49" s="114">
        <v>25000</v>
      </c>
      <c r="E49" s="114">
        <v>17500</v>
      </c>
      <c r="F49" s="114">
        <v>437500</v>
      </c>
      <c r="G49" s="116">
        <f t="shared" si="5"/>
        <v>2025000</v>
      </c>
      <c r="H49" s="111">
        <v>19000</v>
      </c>
      <c r="I49" s="116">
        <f t="shared" si="1"/>
        <v>475000</v>
      </c>
      <c r="J49" s="119"/>
    </row>
    <row r="50" spans="1:10" s="110" customFormat="1" x14ac:dyDescent="0.35">
      <c r="A50" s="113"/>
      <c r="B50" s="113" t="s">
        <v>598</v>
      </c>
      <c r="C50" s="114">
        <v>1505000</v>
      </c>
      <c r="D50" s="114">
        <v>25000</v>
      </c>
      <c r="E50" s="114">
        <v>17500</v>
      </c>
      <c r="F50" s="114">
        <v>437500</v>
      </c>
      <c r="G50" s="116">
        <f t="shared" si="5"/>
        <v>2050000</v>
      </c>
      <c r="H50" s="111">
        <v>19000</v>
      </c>
      <c r="I50" s="116">
        <f t="shared" si="1"/>
        <v>475000</v>
      </c>
      <c r="J50" s="119"/>
    </row>
    <row r="51" spans="1:10" s="110" customFormat="1" x14ac:dyDescent="0.35">
      <c r="A51" s="113"/>
      <c r="B51" s="113" t="s">
        <v>121</v>
      </c>
      <c r="C51" s="114">
        <v>1530000</v>
      </c>
      <c r="D51" s="114">
        <v>25000</v>
      </c>
      <c r="E51" s="114">
        <v>17500</v>
      </c>
      <c r="F51" s="114">
        <v>437500</v>
      </c>
      <c r="G51" s="116">
        <f t="shared" si="5"/>
        <v>2075000</v>
      </c>
      <c r="H51" s="111">
        <v>19000</v>
      </c>
      <c r="I51" s="116">
        <f t="shared" si="1"/>
        <v>475000</v>
      </c>
      <c r="J51" s="119"/>
    </row>
    <row r="52" spans="1:10" s="110" customFormat="1" x14ac:dyDescent="0.35">
      <c r="A52" s="113"/>
      <c r="B52" s="113" t="s">
        <v>599</v>
      </c>
      <c r="C52" s="114">
        <v>1555000</v>
      </c>
      <c r="D52" s="114">
        <v>25000</v>
      </c>
      <c r="E52" s="114">
        <v>17500</v>
      </c>
      <c r="F52" s="114">
        <v>437500</v>
      </c>
      <c r="G52" s="116">
        <f t="shared" si="5"/>
        <v>2100000</v>
      </c>
      <c r="H52" s="111">
        <v>19000</v>
      </c>
      <c r="I52" s="116">
        <f t="shared" si="1"/>
        <v>475000</v>
      </c>
      <c r="J52" s="119"/>
    </row>
    <row r="53" spans="1:10" s="110" customFormat="1" x14ac:dyDescent="0.35">
      <c r="A53" s="113"/>
      <c r="B53" s="113" t="s">
        <v>600</v>
      </c>
      <c r="C53" s="114">
        <v>1580000</v>
      </c>
      <c r="D53" s="114">
        <v>25000</v>
      </c>
      <c r="E53" s="114">
        <v>17500</v>
      </c>
      <c r="F53" s="114">
        <v>437500</v>
      </c>
      <c r="G53" s="116">
        <f t="shared" si="5"/>
        <v>2125000</v>
      </c>
      <c r="H53" s="111">
        <v>19000</v>
      </c>
      <c r="I53" s="116">
        <f t="shared" si="1"/>
        <v>475000</v>
      </c>
      <c r="J53" s="119"/>
    </row>
    <row r="54" spans="1:10" s="110" customFormat="1" x14ac:dyDescent="0.35">
      <c r="A54" s="113"/>
      <c r="B54" s="113" t="s">
        <v>132</v>
      </c>
      <c r="C54" s="114">
        <v>1605000</v>
      </c>
      <c r="D54" s="114">
        <v>25000</v>
      </c>
      <c r="E54" s="114">
        <v>17500</v>
      </c>
      <c r="F54" s="114">
        <v>437500</v>
      </c>
      <c r="G54" s="116">
        <f t="shared" si="5"/>
        <v>2150000</v>
      </c>
      <c r="H54" s="111">
        <v>19000</v>
      </c>
      <c r="I54" s="116">
        <f t="shared" si="1"/>
        <v>475000</v>
      </c>
      <c r="J54" s="119"/>
    </row>
    <row r="55" spans="1:10" s="110" customFormat="1" x14ac:dyDescent="0.35">
      <c r="A55" s="113"/>
      <c r="B55" s="121" t="s">
        <v>183</v>
      </c>
      <c r="C55" s="122">
        <v>1570000</v>
      </c>
      <c r="D55" s="122">
        <v>40000</v>
      </c>
      <c r="E55" s="122">
        <v>17500</v>
      </c>
      <c r="F55" s="122">
        <v>437500</v>
      </c>
      <c r="G55" s="111">
        <f>G54+50000</f>
        <v>2200000</v>
      </c>
      <c r="H55" s="111">
        <v>20000</v>
      </c>
      <c r="I55" s="116">
        <f t="shared" si="1"/>
        <v>500000</v>
      </c>
      <c r="J55" s="119"/>
    </row>
    <row r="56" spans="1:10" s="110" customFormat="1" x14ac:dyDescent="0.35">
      <c r="A56" s="113"/>
      <c r="B56" s="113" t="s">
        <v>601</v>
      </c>
      <c r="C56" s="114">
        <v>1595000</v>
      </c>
      <c r="D56" s="114">
        <v>25000</v>
      </c>
      <c r="E56" s="114">
        <v>17500</v>
      </c>
      <c r="F56" s="114">
        <v>437500</v>
      </c>
      <c r="G56" s="116">
        <f t="shared" ref="G56:G64" si="6">G55+25000</f>
        <v>2225000</v>
      </c>
      <c r="H56" s="111">
        <v>20000</v>
      </c>
      <c r="I56" s="116">
        <f t="shared" si="1"/>
        <v>500000</v>
      </c>
      <c r="J56" s="119"/>
    </row>
    <row r="57" spans="1:10" s="110" customFormat="1" x14ac:dyDescent="0.35">
      <c r="A57" s="113"/>
      <c r="B57" s="113" t="s">
        <v>602</v>
      </c>
      <c r="C57" s="114">
        <v>1620000</v>
      </c>
      <c r="D57" s="114">
        <v>25000</v>
      </c>
      <c r="E57" s="114">
        <v>17500</v>
      </c>
      <c r="F57" s="114">
        <v>437500</v>
      </c>
      <c r="G57" s="116">
        <f t="shared" si="6"/>
        <v>2250000</v>
      </c>
      <c r="H57" s="111">
        <v>20000</v>
      </c>
      <c r="I57" s="116">
        <f t="shared" si="1"/>
        <v>500000</v>
      </c>
      <c r="J57" s="119"/>
    </row>
    <row r="58" spans="1:10" s="110" customFormat="1" x14ac:dyDescent="0.35">
      <c r="A58" s="113"/>
      <c r="B58" s="113" t="s">
        <v>603</v>
      </c>
      <c r="C58" s="114">
        <v>1645000</v>
      </c>
      <c r="D58" s="114">
        <v>25000</v>
      </c>
      <c r="E58" s="114">
        <v>17500</v>
      </c>
      <c r="F58" s="114">
        <v>437500</v>
      </c>
      <c r="G58" s="116">
        <f t="shared" si="6"/>
        <v>2275000</v>
      </c>
      <c r="H58" s="111">
        <v>20000</v>
      </c>
      <c r="I58" s="116">
        <f t="shared" si="1"/>
        <v>500000</v>
      </c>
      <c r="J58" s="119"/>
    </row>
    <row r="59" spans="1:10" s="110" customFormat="1" x14ac:dyDescent="0.35">
      <c r="A59" s="113"/>
      <c r="B59" s="113" t="s">
        <v>604</v>
      </c>
      <c r="C59" s="114">
        <v>1670000</v>
      </c>
      <c r="D59" s="114">
        <v>25000</v>
      </c>
      <c r="E59" s="114">
        <v>17500</v>
      </c>
      <c r="F59" s="114">
        <v>437500</v>
      </c>
      <c r="G59" s="116">
        <f t="shared" si="6"/>
        <v>2300000</v>
      </c>
      <c r="H59" s="111">
        <v>20000</v>
      </c>
      <c r="I59" s="116">
        <f t="shared" si="1"/>
        <v>500000</v>
      </c>
      <c r="J59" s="119"/>
    </row>
    <row r="60" spans="1:10" s="110" customFormat="1" x14ac:dyDescent="0.35">
      <c r="A60" s="113"/>
      <c r="B60" s="113" t="s">
        <v>605</v>
      </c>
      <c r="C60" s="114">
        <v>1695000</v>
      </c>
      <c r="D60" s="114">
        <v>25000</v>
      </c>
      <c r="E60" s="114">
        <v>17500</v>
      </c>
      <c r="F60" s="114">
        <v>437500</v>
      </c>
      <c r="G60" s="116">
        <f t="shared" si="6"/>
        <v>2325000</v>
      </c>
      <c r="H60" s="111">
        <v>20000</v>
      </c>
      <c r="I60" s="116">
        <f t="shared" si="1"/>
        <v>500000</v>
      </c>
      <c r="J60" s="119"/>
    </row>
    <row r="61" spans="1:10" s="110" customFormat="1" x14ac:dyDescent="0.35">
      <c r="A61" s="113"/>
      <c r="B61" s="113" t="s">
        <v>606</v>
      </c>
      <c r="C61" s="114">
        <v>1720000</v>
      </c>
      <c r="D61" s="114">
        <v>25000</v>
      </c>
      <c r="E61" s="114">
        <v>17500</v>
      </c>
      <c r="F61" s="114">
        <v>437500</v>
      </c>
      <c r="G61" s="116">
        <f t="shared" si="6"/>
        <v>2350000</v>
      </c>
      <c r="H61" s="111">
        <v>20000</v>
      </c>
      <c r="I61" s="116">
        <f t="shared" si="1"/>
        <v>500000</v>
      </c>
      <c r="J61" s="119"/>
    </row>
    <row r="62" spans="1:10" s="110" customFormat="1" x14ac:dyDescent="0.35">
      <c r="A62" s="113"/>
      <c r="B62" s="113" t="s">
        <v>607</v>
      </c>
      <c r="C62" s="114">
        <v>1745000</v>
      </c>
      <c r="D62" s="114">
        <v>25000</v>
      </c>
      <c r="E62" s="114">
        <v>17500</v>
      </c>
      <c r="F62" s="114">
        <v>437500</v>
      </c>
      <c r="G62" s="116">
        <f t="shared" si="6"/>
        <v>2375000</v>
      </c>
      <c r="H62" s="111">
        <v>20000</v>
      </c>
      <c r="I62" s="116">
        <f t="shared" si="1"/>
        <v>500000</v>
      </c>
      <c r="J62" s="119"/>
    </row>
    <row r="63" spans="1:10" s="110" customFormat="1" x14ac:dyDescent="0.35">
      <c r="A63" s="113"/>
      <c r="B63" s="113" t="s">
        <v>608</v>
      </c>
      <c r="C63" s="114">
        <v>1770000</v>
      </c>
      <c r="D63" s="114">
        <v>25000</v>
      </c>
      <c r="E63" s="114">
        <v>17500</v>
      </c>
      <c r="F63" s="114">
        <v>437500</v>
      </c>
      <c r="G63" s="116">
        <f t="shared" si="6"/>
        <v>2400000</v>
      </c>
      <c r="H63" s="111">
        <v>20000</v>
      </c>
      <c r="I63" s="116">
        <f t="shared" si="1"/>
        <v>500000</v>
      </c>
      <c r="J63" s="119"/>
    </row>
    <row r="64" spans="1:10" s="110" customFormat="1" x14ac:dyDescent="0.35">
      <c r="A64" s="113"/>
      <c r="B64" s="113" t="s">
        <v>609</v>
      </c>
      <c r="C64" s="114">
        <v>1795000</v>
      </c>
      <c r="D64" s="114">
        <v>25000</v>
      </c>
      <c r="E64" s="114">
        <v>17500</v>
      </c>
      <c r="F64" s="114">
        <v>437500</v>
      </c>
      <c r="G64" s="116">
        <f t="shared" si="6"/>
        <v>2425000</v>
      </c>
      <c r="H64" s="111">
        <v>20000</v>
      </c>
      <c r="I64" s="116">
        <f t="shared" si="1"/>
        <v>500000</v>
      </c>
      <c r="J64" s="119"/>
    </row>
    <row r="65" spans="1:10" s="110" customFormat="1" x14ac:dyDescent="0.35">
      <c r="A65" s="113"/>
      <c r="B65" s="124" t="s">
        <v>86</v>
      </c>
      <c r="C65" s="125">
        <v>1780000</v>
      </c>
      <c r="D65" s="125">
        <v>60000</v>
      </c>
      <c r="E65" s="125">
        <v>20000</v>
      </c>
      <c r="F65" s="125">
        <v>500000</v>
      </c>
      <c r="G65" s="111">
        <f>G64+75000</f>
        <v>2500000</v>
      </c>
      <c r="H65" s="111">
        <v>21000</v>
      </c>
      <c r="I65" s="116">
        <f t="shared" si="1"/>
        <v>525000</v>
      </c>
      <c r="J65" s="119"/>
    </row>
    <row r="66" spans="1:10" s="110" customFormat="1" x14ac:dyDescent="0.35">
      <c r="A66" s="113"/>
      <c r="B66" s="113" t="s">
        <v>610</v>
      </c>
      <c r="C66" s="114">
        <v>1810000</v>
      </c>
      <c r="D66" s="114">
        <v>30000</v>
      </c>
      <c r="E66" s="114">
        <v>20000</v>
      </c>
      <c r="F66" s="114">
        <v>500000</v>
      </c>
      <c r="G66" s="116">
        <f t="shared" ref="G66:G74" si="7">G65+25000</f>
        <v>2525000</v>
      </c>
      <c r="H66" s="111">
        <v>21000</v>
      </c>
      <c r="I66" s="116">
        <f t="shared" si="1"/>
        <v>525000</v>
      </c>
      <c r="J66" s="119"/>
    </row>
    <row r="67" spans="1:10" x14ac:dyDescent="0.35">
      <c r="A67" s="113"/>
      <c r="B67" s="113" t="s">
        <v>611</v>
      </c>
      <c r="C67" s="114">
        <v>1840000</v>
      </c>
      <c r="D67" s="114">
        <v>30000</v>
      </c>
      <c r="E67" s="114">
        <v>20000</v>
      </c>
      <c r="F67" s="114">
        <v>500000</v>
      </c>
      <c r="G67" s="116">
        <f t="shared" si="7"/>
        <v>2550000</v>
      </c>
      <c r="H67" s="111">
        <v>21000</v>
      </c>
      <c r="I67" s="116">
        <f t="shared" si="1"/>
        <v>525000</v>
      </c>
      <c r="J67" s="119"/>
    </row>
    <row r="68" spans="1:10" x14ac:dyDescent="0.35">
      <c r="A68" s="113"/>
      <c r="B68" s="113" t="s">
        <v>612</v>
      </c>
      <c r="C68" s="114">
        <v>1870000</v>
      </c>
      <c r="D68" s="114">
        <v>30000</v>
      </c>
      <c r="E68" s="114">
        <v>20000</v>
      </c>
      <c r="F68" s="114">
        <v>500000</v>
      </c>
      <c r="G68" s="116">
        <f t="shared" si="7"/>
        <v>2575000</v>
      </c>
      <c r="H68" s="111">
        <v>21000</v>
      </c>
      <c r="I68" s="116">
        <f t="shared" si="1"/>
        <v>525000</v>
      </c>
      <c r="J68" s="119"/>
    </row>
    <row r="69" spans="1:10" x14ac:dyDescent="0.35">
      <c r="A69" s="113"/>
      <c r="B69" s="113" t="s">
        <v>613</v>
      </c>
      <c r="C69" s="114">
        <v>1900000</v>
      </c>
      <c r="D69" s="114">
        <v>30000</v>
      </c>
      <c r="E69" s="114">
        <v>20000</v>
      </c>
      <c r="F69" s="114">
        <v>500000</v>
      </c>
      <c r="G69" s="116">
        <f t="shared" si="7"/>
        <v>2600000</v>
      </c>
      <c r="H69" s="111">
        <v>21000</v>
      </c>
      <c r="I69" s="116">
        <f t="shared" si="1"/>
        <v>525000</v>
      </c>
      <c r="J69" s="119"/>
    </row>
    <row r="70" spans="1:10" x14ac:dyDescent="0.35">
      <c r="A70" s="113"/>
      <c r="B70" s="113" t="s">
        <v>614</v>
      </c>
      <c r="C70" s="114">
        <v>1930000</v>
      </c>
      <c r="D70" s="114">
        <v>30000</v>
      </c>
      <c r="E70" s="114">
        <v>20000</v>
      </c>
      <c r="F70" s="114">
        <v>500000</v>
      </c>
      <c r="G70" s="116">
        <f t="shared" si="7"/>
        <v>2625000</v>
      </c>
      <c r="H70" s="111">
        <v>21000</v>
      </c>
      <c r="I70" s="116">
        <f t="shared" si="1"/>
        <v>525000</v>
      </c>
      <c r="J70" s="119"/>
    </row>
    <row r="71" spans="1:10" x14ac:dyDescent="0.35">
      <c r="A71" s="113"/>
      <c r="B71" s="113" t="s">
        <v>615</v>
      </c>
      <c r="C71" s="114">
        <v>1960000</v>
      </c>
      <c r="D71" s="114">
        <v>30000</v>
      </c>
      <c r="E71" s="114">
        <v>20000</v>
      </c>
      <c r="F71" s="114">
        <v>500000</v>
      </c>
      <c r="G71" s="116">
        <f t="shared" si="7"/>
        <v>2650000</v>
      </c>
      <c r="H71" s="111">
        <v>21000</v>
      </c>
      <c r="I71" s="116">
        <f t="shared" si="1"/>
        <v>525000</v>
      </c>
      <c r="J71" s="119"/>
    </row>
    <row r="72" spans="1:10" x14ac:dyDescent="0.35">
      <c r="A72" s="113"/>
      <c r="B72" s="113" t="s">
        <v>616</v>
      </c>
      <c r="C72" s="114">
        <v>1990000</v>
      </c>
      <c r="D72" s="114">
        <v>30000</v>
      </c>
      <c r="E72" s="114">
        <v>20000</v>
      </c>
      <c r="F72" s="114">
        <v>500000</v>
      </c>
      <c r="G72" s="116">
        <f t="shared" si="7"/>
        <v>2675000</v>
      </c>
      <c r="H72" s="111">
        <v>21000</v>
      </c>
      <c r="I72" s="116">
        <f t="shared" si="1"/>
        <v>525000</v>
      </c>
      <c r="J72" s="119"/>
    </row>
    <row r="73" spans="1:10" x14ac:dyDescent="0.35">
      <c r="A73" s="113"/>
      <c r="B73" s="113" t="s">
        <v>617</v>
      </c>
      <c r="C73" s="114">
        <v>2020000</v>
      </c>
      <c r="D73" s="114">
        <v>30000</v>
      </c>
      <c r="E73" s="114">
        <v>20000</v>
      </c>
      <c r="F73" s="114">
        <v>500000</v>
      </c>
      <c r="G73" s="116">
        <f t="shared" si="7"/>
        <v>2700000</v>
      </c>
      <c r="H73" s="111">
        <v>21000</v>
      </c>
      <c r="I73" s="116">
        <f t="shared" si="1"/>
        <v>525000</v>
      </c>
      <c r="J73" s="119"/>
    </row>
    <row r="74" spans="1:10" x14ac:dyDescent="0.35">
      <c r="A74" s="113"/>
      <c r="B74" s="113" t="s">
        <v>618</v>
      </c>
      <c r="C74" s="114">
        <v>2050000</v>
      </c>
      <c r="D74" s="114">
        <v>30000</v>
      </c>
      <c r="E74" s="114">
        <v>20000</v>
      </c>
      <c r="F74" s="114">
        <v>500000</v>
      </c>
      <c r="G74" s="116">
        <f t="shared" si="7"/>
        <v>2725000</v>
      </c>
      <c r="H74" s="111">
        <v>21000</v>
      </c>
      <c r="I74" s="116">
        <f t="shared" si="1"/>
        <v>525000</v>
      </c>
      <c r="J74" s="119"/>
    </row>
    <row r="75" spans="1:10" x14ac:dyDescent="0.35">
      <c r="A75" s="113"/>
      <c r="B75" s="124" t="s">
        <v>619</v>
      </c>
      <c r="C75" s="125">
        <v>2010000</v>
      </c>
      <c r="D75" s="125">
        <v>50000</v>
      </c>
      <c r="E75" s="125">
        <v>20000</v>
      </c>
      <c r="F75" s="125">
        <v>500000</v>
      </c>
      <c r="G75" s="111">
        <f>G74+50000</f>
        <v>2775000</v>
      </c>
      <c r="H75" s="111">
        <v>22000</v>
      </c>
      <c r="I75" s="116">
        <f t="shared" si="1"/>
        <v>550000</v>
      </c>
      <c r="J75" s="119"/>
    </row>
    <row r="76" spans="1:10" x14ac:dyDescent="0.35">
      <c r="A76" s="113"/>
      <c r="B76" s="113" t="s">
        <v>620</v>
      </c>
      <c r="C76" s="114">
        <v>2040000</v>
      </c>
      <c r="D76" s="114">
        <v>30000</v>
      </c>
      <c r="E76" s="114">
        <v>20000</v>
      </c>
      <c r="F76" s="114">
        <v>500000</v>
      </c>
      <c r="G76" s="116">
        <f t="shared" ref="G76:G84" si="8">G75+25000</f>
        <v>2800000</v>
      </c>
      <c r="H76" s="111">
        <v>22000</v>
      </c>
      <c r="I76" s="116">
        <f t="shared" si="1"/>
        <v>550000</v>
      </c>
      <c r="J76" s="119"/>
    </row>
    <row r="77" spans="1:10" x14ac:dyDescent="0.35">
      <c r="A77" s="113"/>
      <c r="B77" s="113" t="s">
        <v>621</v>
      </c>
      <c r="C77" s="114">
        <v>2070000</v>
      </c>
      <c r="D77" s="114">
        <v>30000</v>
      </c>
      <c r="E77" s="114">
        <v>20000</v>
      </c>
      <c r="F77" s="114">
        <v>500000</v>
      </c>
      <c r="G77" s="116">
        <f t="shared" si="8"/>
        <v>2825000</v>
      </c>
      <c r="H77" s="111">
        <v>22000</v>
      </c>
      <c r="I77" s="116">
        <f t="shared" si="1"/>
        <v>550000</v>
      </c>
      <c r="J77" s="119"/>
    </row>
    <row r="78" spans="1:10" x14ac:dyDescent="0.35">
      <c r="A78" s="113"/>
      <c r="B78" s="113" t="s">
        <v>622</v>
      </c>
      <c r="C78" s="114">
        <v>2100000</v>
      </c>
      <c r="D78" s="114">
        <v>30000</v>
      </c>
      <c r="E78" s="114">
        <v>20000</v>
      </c>
      <c r="F78" s="114">
        <v>500000</v>
      </c>
      <c r="G78" s="116">
        <f t="shared" si="8"/>
        <v>2850000</v>
      </c>
      <c r="H78" s="111">
        <v>22000</v>
      </c>
      <c r="I78" s="116">
        <f t="shared" ref="I78:I94" si="9">H78*25</f>
        <v>550000</v>
      </c>
      <c r="J78" s="119"/>
    </row>
    <row r="79" spans="1:10" x14ac:dyDescent="0.35">
      <c r="A79" s="113"/>
      <c r="B79" s="113" t="s">
        <v>623</v>
      </c>
      <c r="C79" s="114">
        <v>2130000</v>
      </c>
      <c r="D79" s="114">
        <v>30000</v>
      </c>
      <c r="E79" s="114">
        <v>20000</v>
      </c>
      <c r="F79" s="114">
        <v>500000</v>
      </c>
      <c r="G79" s="116">
        <f t="shared" si="8"/>
        <v>2875000</v>
      </c>
      <c r="H79" s="111">
        <v>22000</v>
      </c>
      <c r="I79" s="116">
        <f t="shared" si="9"/>
        <v>550000</v>
      </c>
      <c r="J79" s="119"/>
    </row>
    <row r="80" spans="1:10" x14ac:dyDescent="0.35">
      <c r="A80" s="113"/>
      <c r="B80" s="113" t="s">
        <v>624</v>
      </c>
      <c r="C80" s="114">
        <v>2160000</v>
      </c>
      <c r="D80" s="114">
        <v>30000</v>
      </c>
      <c r="E80" s="114">
        <v>20000</v>
      </c>
      <c r="F80" s="114">
        <v>500000</v>
      </c>
      <c r="G80" s="116">
        <f t="shared" si="8"/>
        <v>2900000</v>
      </c>
      <c r="H80" s="111">
        <v>22000</v>
      </c>
      <c r="I80" s="116">
        <f t="shared" si="9"/>
        <v>550000</v>
      </c>
      <c r="J80" s="119"/>
    </row>
    <row r="81" spans="1:10" x14ac:dyDescent="0.35">
      <c r="A81" s="113"/>
      <c r="B81" s="113" t="s">
        <v>625</v>
      </c>
      <c r="C81" s="114">
        <v>2190000</v>
      </c>
      <c r="D81" s="114">
        <v>30000</v>
      </c>
      <c r="E81" s="114">
        <v>20000</v>
      </c>
      <c r="F81" s="114">
        <v>500000</v>
      </c>
      <c r="G81" s="116">
        <f t="shared" si="8"/>
        <v>2925000</v>
      </c>
      <c r="H81" s="111">
        <v>22000</v>
      </c>
      <c r="I81" s="116">
        <f t="shared" si="9"/>
        <v>550000</v>
      </c>
      <c r="J81" s="119"/>
    </row>
    <row r="82" spans="1:10" x14ac:dyDescent="0.35">
      <c r="A82" s="113"/>
      <c r="B82" s="113" t="s">
        <v>626</v>
      </c>
      <c r="C82" s="114">
        <v>2220000</v>
      </c>
      <c r="D82" s="114">
        <v>30000</v>
      </c>
      <c r="E82" s="114">
        <v>20000</v>
      </c>
      <c r="F82" s="114">
        <v>500000</v>
      </c>
      <c r="G82" s="116">
        <f t="shared" si="8"/>
        <v>2950000</v>
      </c>
      <c r="H82" s="111">
        <v>22000</v>
      </c>
      <c r="I82" s="116">
        <f t="shared" si="9"/>
        <v>550000</v>
      </c>
      <c r="J82" s="119"/>
    </row>
    <row r="83" spans="1:10" x14ac:dyDescent="0.35">
      <c r="A83" s="113"/>
      <c r="B83" s="113" t="s">
        <v>627</v>
      </c>
      <c r="C83" s="114">
        <v>2250000</v>
      </c>
      <c r="D83" s="114">
        <v>30000</v>
      </c>
      <c r="E83" s="114">
        <v>20000</v>
      </c>
      <c r="F83" s="114">
        <v>500000</v>
      </c>
      <c r="G83" s="116">
        <f t="shared" si="8"/>
        <v>2975000</v>
      </c>
      <c r="H83" s="111">
        <v>22000</v>
      </c>
      <c r="I83" s="116">
        <f t="shared" si="9"/>
        <v>550000</v>
      </c>
      <c r="J83" s="119"/>
    </row>
    <row r="84" spans="1:10" x14ac:dyDescent="0.35">
      <c r="A84" s="113"/>
      <c r="B84" s="113" t="s">
        <v>628</v>
      </c>
      <c r="C84" s="114">
        <v>2280000</v>
      </c>
      <c r="D84" s="114">
        <v>30000</v>
      </c>
      <c r="E84" s="114">
        <v>20000</v>
      </c>
      <c r="F84" s="114">
        <v>500000</v>
      </c>
      <c r="G84" s="116">
        <f t="shared" si="8"/>
        <v>3000000</v>
      </c>
      <c r="H84" s="111">
        <v>22000</v>
      </c>
      <c r="I84" s="116">
        <f t="shared" si="9"/>
        <v>550000</v>
      </c>
      <c r="J84" s="119"/>
    </row>
    <row r="85" spans="1:10" x14ac:dyDescent="0.35">
      <c r="A85" s="113"/>
      <c r="B85" s="124" t="s">
        <v>629</v>
      </c>
      <c r="C85" s="125">
        <v>2240000</v>
      </c>
      <c r="D85" s="125">
        <v>50000</v>
      </c>
      <c r="E85" s="125">
        <v>20000</v>
      </c>
      <c r="F85" s="125">
        <v>500000</v>
      </c>
      <c r="G85" s="111">
        <f>G84+50000</f>
        <v>3050000</v>
      </c>
      <c r="H85" s="111">
        <v>23000</v>
      </c>
      <c r="I85" s="116">
        <f t="shared" si="9"/>
        <v>575000</v>
      </c>
      <c r="J85" s="119"/>
    </row>
    <row r="86" spans="1:10" x14ac:dyDescent="0.35">
      <c r="A86" s="113"/>
      <c r="B86" s="113" t="s">
        <v>630</v>
      </c>
      <c r="C86" s="114">
        <v>2270000</v>
      </c>
      <c r="D86" s="114">
        <v>30000</v>
      </c>
      <c r="E86" s="114">
        <v>20000</v>
      </c>
      <c r="F86" s="114">
        <v>500000</v>
      </c>
      <c r="G86" s="116">
        <f t="shared" ref="G86:G94" si="10">G85+25000</f>
        <v>3075000</v>
      </c>
      <c r="H86" s="111">
        <v>23000</v>
      </c>
      <c r="I86" s="116">
        <f t="shared" si="9"/>
        <v>575000</v>
      </c>
      <c r="J86" s="119"/>
    </row>
    <row r="87" spans="1:10" x14ac:dyDescent="0.35">
      <c r="A87" s="113"/>
      <c r="B87" s="113" t="s">
        <v>631</v>
      </c>
      <c r="C87" s="114">
        <v>2300000</v>
      </c>
      <c r="D87" s="114">
        <v>30000</v>
      </c>
      <c r="E87" s="114">
        <v>20000</v>
      </c>
      <c r="F87" s="114">
        <v>500000</v>
      </c>
      <c r="G87" s="116">
        <f t="shared" si="10"/>
        <v>3100000</v>
      </c>
      <c r="H87" s="111">
        <v>23000</v>
      </c>
      <c r="I87" s="116">
        <f t="shared" si="9"/>
        <v>575000</v>
      </c>
      <c r="J87" s="119"/>
    </row>
    <row r="88" spans="1:10" x14ac:dyDescent="0.35">
      <c r="A88" s="113"/>
      <c r="B88" s="113" t="s">
        <v>632</v>
      </c>
      <c r="C88" s="114">
        <v>2330000</v>
      </c>
      <c r="D88" s="114">
        <v>30000</v>
      </c>
      <c r="E88" s="114">
        <v>20000</v>
      </c>
      <c r="F88" s="114">
        <v>500000</v>
      </c>
      <c r="G88" s="116">
        <f t="shared" si="10"/>
        <v>3125000</v>
      </c>
      <c r="H88" s="111">
        <v>23000</v>
      </c>
      <c r="I88" s="116">
        <f t="shared" si="9"/>
        <v>575000</v>
      </c>
      <c r="J88" s="119"/>
    </row>
    <row r="89" spans="1:10" x14ac:dyDescent="0.35">
      <c r="A89" s="113"/>
      <c r="B89" s="113" t="s">
        <v>633</v>
      </c>
      <c r="C89" s="114">
        <v>2360000</v>
      </c>
      <c r="D89" s="114">
        <v>30000</v>
      </c>
      <c r="E89" s="114">
        <v>20000</v>
      </c>
      <c r="F89" s="114">
        <v>500000</v>
      </c>
      <c r="G89" s="116">
        <f t="shared" si="10"/>
        <v>3150000</v>
      </c>
      <c r="H89" s="111">
        <v>23000</v>
      </c>
      <c r="I89" s="116">
        <f t="shared" si="9"/>
        <v>575000</v>
      </c>
      <c r="J89" s="119"/>
    </row>
    <row r="90" spans="1:10" x14ac:dyDescent="0.35">
      <c r="A90" s="113"/>
      <c r="B90" s="126" t="s">
        <v>634</v>
      </c>
      <c r="C90" s="127">
        <v>2390000</v>
      </c>
      <c r="D90" s="127">
        <v>30000</v>
      </c>
      <c r="E90" s="127">
        <v>20000</v>
      </c>
      <c r="F90" s="127">
        <v>500000</v>
      </c>
      <c r="G90" s="116">
        <f t="shared" si="10"/>
        <v>3175000</v>
      </c>
      <c r="H90" s="111">
        <v>23000</v>
      </c>
      <c r="I90" s="116">
        <f t="shared" si="9"/>
        <v>575000</v>
      </c>
      <c r="J90" s="119"/>
    </row>
    <row r="91" spans="1:10" x14ac:dyDescent="0.35">
      <c r="A91" s="128"/>
      <c r="B91" s="113" t="s">
        <v>635</v>
      </c>
      <c r="C91" s="114">
        <v>2420000</v>
      </c>
      <c r="D91" s="114">
        <v>30000</v>
      </c>
      <c r="E91" s="114">
        <v>20000</v>
      </c>
      <c r="F91" s="114">
        <v>500000</v>
      </c>
      <c r="G91" s="116">
        <f t="shared" si="10"/>
        <v>3200000</v>
      </c>
      <c r="H91" s="116">
        <v>23000</v>
      </c>
      <c r="I91" s="116">
        <f t="shared" si="9"/>
        <v>575000</v>
      </c>
      <c r="J91" s="119"/>
    </row>
    <row r="92" spans="1:10" x14ac:dyDescent="0.35">
      <c r="B92" s="113" t="s">
        <v>636</v>
      </c>
      <c r="C92" s="114">
        <v>2450000</v>
      </c>
      <c r="D92" s="114">
        <v>30000</v>
      </c>
      <c r="E92" s="114">
        <v>20000</v>
      </c>
      <c r="F92" s="114">
        <v>500000</v>
      </c>
      <c r="G92" s="116">
        <f t="shared" si="10"/>
        <v>3225000</v>
      </c>
      <c r="H92" s="116">
        <v>23000</v>
      </c>
      <c r="I92" s="116">
        <f t="shared" si="9"/>
        <v>575000</v>
      </c>
      <c r="J92" s="119"/>
    </row>
    <row r="93" spans="1:10" x14ac:dyDescent="0.35">
      <c r="B93" s="113" t="s">
        <v>637</v>
      </c>
      <c r="C93" s="114">
        <v>2480000</v>
      </c>
      <c r="D93" s="114">
        <v>30000</v>
      </c>
      <c r="E93" s="114">
        <v>20000</v>
      </c>
      <c r="F93" s="114">
        <v>500000</v>
      </c>
      <c r="G93" s="116">
        <f t="shared" si="10"/>
        <v>3250000</v>
      </c>
      <c r="H93" s="116">
        <v>23000</v>
      </c>
      <c r="I93" s="116">
        <f t="shared" si="9"/>
        <v>575000</v>
      </c>
      <c r="J93" s="119"/>
    </row>
    <row r="94" spans="1:10" x14ac:dyDescent="0.35">
      <c r="B94" s="113" t="s">
        <v>638</v>
      </c>
      <c r="C94" s="114">
        <v>2510000</v>
      </c>
      <c r="D94" s="114">
        <v>30000</v>
      </c>
      <c r="E94" s="114">
        <v>20000</v>
      </c>
      <c r="F94" s="114">
        <v>500000</v>
      </c>
      <c r="G94" s="116">
        <f t="shared" si="10"/>
        <v>3275000</v>
      </c>
      <c r="H94" s="116">
        <v>23000</v>
      </c>
      <c r="I94" s="116">
        <f t="shared" si="9"/>
        <v>575000</v>
      </c>
      <c r="J94" s="119"/>
    </row>
    <row r="95" spans="1:10" x14ac:dyDescent="0.35">
      <c r="J95" s="119"/>
    </row>
  </sheetData>
  <pageMargins left="0.7" right="0.7" top="0.75" bottom="0.75" header="0.51180555555555496" footer="0.511805555555554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59"/>
  <sheetViews>
    <sheetView topLeftCell="A4" zoomScale="77" workbookViewId="0">
      <selection activeCell="J11" sqref="J11"/>
    </sheetView>
  </sheetViews>
  <sheetFormatPr defaultColWidth="9" defaultRowHeight="14.5" x14ac:dyDescent="0.35"/>
  <cols>
    <col min="1" max="1" width="11.36328125" customWidth="1"/>
    <col min="2" max="2" width="1.6328125" customWidth="1"/>
    <col min="3" max="3" width="15.54296875" customWidth="1"/>
    <col min="4" max="4" width="2.08984375" customWidth="1"/>
    <col min="5" max="5" width="4.453125" customWidth="1"/>
    <col min="6" max="6" width="15.36328125" customWidth="1"/>
    <col min="7" max="7" width="2.08984375" customWidth="1"/>
    <col min="8" max="8" width="17.453125" customWidth="1"/>
    <col min="9" max="9" width="1.6328125" customWidth="1"/>
    <col min="10" max="10" width="14.54296875" customWidth="1"/>
    <col min="11" max="11" width="5" customWidth="1"/>
    <col min="12" max="12" width="7.90625" customWidth="1"/>
    <col min="13" max="14" width="8.54296875" customWidth="1"/>
    <col min="15" max="15" width="7.453125" customWidth="1"/>
    <col min="16" max="16" width="6.453125" customWidth="1"/>
    <col min="17" max="1025" width="8.54296875" customWidth="1"/>
  </cols>
  <sheetData>
    <row r="2" spans="1:15" ht="15.5" x14ac:dyDescent="0.35">
      <c r="A2" s="492" t="s">
        <v>639</v>
      </c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N2" t="s">
        <v>640</v>
      </c>
      <c r="O2" t="s">
        <v>101</v>
      </c>
    </row>
    <row r="3" spans="1:15" x14ac:dyDescent="0.35">
      <c r="A3" s="493" t="s">
        <v>641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O3" s="129"/>
    </row>
    <row r="4" spans="1:15" x14ac:dyDescent="0.35">
      <c r="A4" s="130"/>
      <c r="B4" s="130"/>
      <c r="C4" s="130"/>
      <c r="D4" s="130"/>
      <c r="E4" s="130"/>
      <c r="F4" s="130"/>
      <c r="G4" s="130"/>
      <c r="H4" s="130"/>
    </row>
    <row r="5" spans="1:15" x14ac:dyDescent="0.35">
      <c r="A5" t="s">
        <v>37</v>
      </c>
      <c r="B5" t="s">
        <v>642</v>
      </c>
      <c r="C5" t="e">
        <f>VLOOKUP($O$2,#REF!,2,0)</f>
        <v>#REF!</v>
      </c>
      <c r="H5" t="s">
        <v>643</v>
      </c>
      <c r="I5" t="s">
        <v>642</v>
      </c>
      <c r="J5" s="496" t="e">
        <f>VLOOKUP($O$2,#REF!,6,0)</f>
        <v>#REF!</v>
      </c>
      <c r="K5" s="496"/>
    </row>
    <row r="6" spans="1:15" x14ac:dyDescent="0.35">
      <c r="A6" t="s">
        <v>38</v>
      </c>
      <c r="B6" t="s">
        <v>642</v>
      </c>
      <c r="C6" t="e">
        <f>VLOOKUP($O$2,#REF!,3,0)</f>
        <v>#REF!</v>
      </c>
      <c r="H6" t="s">
        <v>50</v>
      </c>
      <c r="I6" t="s">
        <v>642</v>
      </c>
      <c r="J6" s="131" t="e">
        <f>VLOOKUP($O$2,#REF!,16,0)</f>
        <v>#REF!</v>
      </c>
      <c r="K6" s="132" t="s">
        <v>644</v>
      </c>
    </row>
    <row r="7" spans="1:15" x14ac:dyDescent="0.35">
      <c r="A7" t="s">
        <v>645</v>
      </c>
      <c r="B7" t="s">
        <v>642</v>
      </c>
      <c r="C7" s="132" t="e">
        <f>VLOOKUP($O$2,#REF!,4,0)</f>
        <v>#REF!</v>
      </c>
      <c r="H7" t="s">
        <v>646</v>
      </c>
      <c r="I7" t="s">
        <v>642</v>
      </c>
      <c r="J7" s="131" t="e">
        <f>VLOOKUP($O$2,#REF!,17,0)</f>
        <v>#REF!</v>
      </c>
      <c r="K7" s="132" t="s">
        <v>644</v>
      </c>
    </row>
    <row r="8" spans="1:15" x14ac:dyDescent="0.35">
      <c r="A8" t="s">
        <v>48</v>
      </c>
      <c r="B8" t="s">
        <v>642</v>
      </c>
      <c r="C8" s="132" t="e">
        <f>VLOOKUP($O$2,#REF!,14,0)</f>
        <v>#REF!</v>
      </c>
      <c r="H8" t="s">
        <v>647</v>
      </c>
      <c r="I8" t="s">
        <v>642</v>
      </c>
      <c r="J8" s="131" t="e">
        <f>VLOOKUP($O$2,#REF!,18,0)</f>
        <v>#REF!</v>
      </c>
      <c r="K8" s="132" t="s">
        <v>644</v>
      </c>
    </row>
    <row r="9" spans="1:15" x14ac:dyDescent="0.35">
      <c r="A9" t="s">
        <v>648</v>
      </c>
      <c r="B9" t="s">
        <v>642</v>
      </c>
      <c r="C9" s="133" t="e">
        <f>VLOOKUP($O$2,#REF!,7,0)</f>
        <v>#REF!</v>
      </c>
      <c r="H9" t="s">
        <v>53</v>
      </c>
      <c r="I9" t="s">
        <v>642</v>
      </c>
      <c r="J9" s="131" t="e">
        <f>VLOOKUP($O$2,#REF!,19,0)</f>
        <v>#REF!</v>
      </c>
      <c r="K9" s="132" t="s">
        <v>644</v>
      </c>
    </row>
    <row r="10" spans="1:15" x14ac:dyDescent="0.35">
      <c r="A10" t="s">
        <v>649</v>
      </c>
      <c r="B10" t="s">
        <v>642</v>
      </c>
      <c r="C10" s="132"/>
      <c r="H10" t="s">
        <v>650</v>
      </c>
      <c r="I10" s="133" t="s">
        <v>642</v>
      </c>
      <c r="J10" s="131" t="e">
        <f>VLOOKUP($O$2,#REF!,20,0)</f>
        <v>#REF!</v>
      </c>
      <c r="K10" s="132" t="s">
        <v>644</v>
      </c>
    </row>
    <row r="11" spans="1:15" x14ac:dyDescent="0.35">
      <c r="A11" t="s">
        <v>651</v>
      </c>
      <c r="B11" t="s">
        <v>642</v>
      </c>
      <c r="H11" t="s">
        <v>55</v>
      </c>
      <c r="I11" t="s">
        <v>642</v>
      </c>
      <c r="J11" s="131" t="e">
        <f>VLOOKUP($O$2,#REF!,21,0)</f>
        <v>#REF!</v>
      </c>
      <c r="K11" s="132" t="s">
        <v>644</v>
      </c>
    </row>
    <row r="12" spans="1:15" x14ac:dyDescent="0.35">
      <c r="J12" s="131"/>
      <c r="K12" s="132"/>
    </row>
    <row r="13" spans="1:15" x14ac:dyDescent="0.35">
      <c r="H13" t="s">
        <v>652</v>
      </c>
    </row>
    <row r="14" spans="1:15" x14ac:dyDescent="0.35">
      <c r="A14" t="s">
        <v>653</v>
      </c>
      <c r="D14" t="s">
        <v>642</v>
      </c>
      <c r="E14" s="494" t="e">
        <f>VLOOKUP($O$2,#REF!,36,0)</f>
        <v>#REF!</v>
      </c>
      <c r="F14" s="494"/>
      <c r="H14" t="s">
        <v>654</v>
      </c>
      <c r="I14" t="s">
        <v>642</v>
      </c>
      <c r="J14" s="134" t="e">
        <f>VLOOKUP($O$2,#REF!,54,0)</f>
        <v>#REF!</v>
      </c>
      <c r="K14" s="135"/>
    </row>
    <row r="15" spans="1:15" x14ac:dyDescent="0.35">
      <c r="A15" t="s">
        <v>655</v>
      </c>
      <c r="D15" t="s">
        <v>642</v>
      </c>
      <c r="E15" s="494" t="e">
        <f>VLOOKUP($O$2,#REF!,37,0)</f>
        <v>#REF!</v>
      </c>
      <c r="F15" s="494"/>
      <c r="H15" t="s">
        <v>656</v>
      </c>
      <c r="I15" t="s">
        <v>642</v>
      </c>
      <c r="J15" s="134" t="e">
        <f>VLOOKUP($O$2,#REF!,55,0)</f>
        <v>#REF!</v>
      </c>
      <c r="K15" s="135"/>
    </row>
    <row r="16" spans="1:15" x14ac:dyDescent="0.35">
      <c r="A16" t="s">
        <v>657</v>
      </c>
      <c r="D16" t="s">
        <v>642</v>
      </c>
      <c r="E16" s="494" t="e">
        <f>VLOOKUP($O$2,#REF!,38,0)</f>
        <v>#REF!</v>
      </c>
      <c r="F16" s="494"/>
      <c r="H16" t="s">
        <v>658</v>
      </c>
      <c r="I16" t="s">
        <v>642</v>
      </c>
      <c r="J16" s="134" t="e">
        <f>VLOOKUP($O$2,#REF!,56,0)</f>
        <v>#REF!</v>
      </c>
      <c r="K16" s="135"/>
    </row>
    <row r="17" spans="1:11" x14ac:dyDescent="0.35">
      <c r="A17" t="s">
        <v>659</v>
      </c>
      <c r="D17" t="s">
        <v>642</v>
      </c>
      <c r="E17" s="494" t="e">
        <f>VLOOKUP($O$2,#REF!,39,0)</f>
        <v>#REF!</v>
      </c>
      <c r="F17" s="494"/>
      <c r="H17" t="s">
        <v>660</v>
      </c>
      <c r="I17" t="s">
        <v>642</v>
      </c>
      <c r="J17" s="134" t="e">
        <f>VLOOKUP($O$2,#REF!,57,0)</f>
        <v>#REF!</v>
      </c>
      <c r="K17" s="135"/>
    </row>
    <row r="18" spans="1:11" x14ac:dyDescent="0.35">
      <c r="A18" t="s">
        <v>661</v>
      </c>
      <c r="D18" t="s">
        <v>642</v>
      </c>
      <c r="E18" s="494" t="e">
        <f>VLOOKUP($O$2,#REF!,40,0)</f>
        <v>#REF!</v>
      </c>
      <c r="F18" s="494"/>
      <c r="H18" t="s">
        <v>662</v>
      </c>
      <c r="I18" t="s">
        <v>642</v>
      </c>
      <c r="J18" s="134" t="e">
        <f>VLOOKUP($O$2,#REF!,58,0)</f>
        <v>#REF!</v>
      </c>
      <c r="K18" s="135"/>
    </row>
    <row r="19" spans="1:11" x14ac:dyDescent="0.35">
      <c r="A19" t="s">
        <v>663</v>
      </c>
      <c r="D19" t="s">
        <v>642</v>
      </c>
      <c r="E19" s="494" t="e">
        <f>VLOOKUP($O$2,#REF!,41,0)</f>
        <v>#REF!</v>
      </c>
      <c r="F19" s="494"/>
      <c r="H19" t="s">
        <v>664</v>
      </c>
      <c r="J19" s="134" t="e">
        <f>VLOOKUP($O$2,#REF!,59,0)</f>
        <v>#REF!</v>
      </c>
      <c r="K19" s="136"/>
    </row>
    <row r="20" spans="1:11" x14ac:dyDescent="0.35">
      <c r="A20" t="s">
        <v>665</v>
      </c>
      <c r="D20" t="s">
        <v>642</v>
      </c>
      <c r="E20" s="494" t="e">
        <f>VLOOKUP($O$2,#REF!,41,0)</f>
        <v>#REF!</v>
      </c>
      <c r="F20" s="494"/>
      <c r="J20" s="135"/>
      <c r="K20" s="136"/>
    </row>
    <row r="21" spans="1:11" x14ac:dyDescent="0.35">
      <c r="A21" t="s">
        <v>666</v>
      </c>
      <c r="D21" t="s">
        <v>642</v>
      </c>
      <c r="E21" s="498" t="e">
        <f>VLOOKUP($O$2,#REF!,47,0)</f>
        <v>#REF!</v>
      </c>
      <c r="F21" s="498"/>
      <c r="H21" t="s">
        <v>667</v>
      </c>
      <c r="I21" t="s">
        <v>642</v>
      </c>
      <c r="J21" s="134" t="e">
        <f>VLOOKUP($O$2,#REF!,65,0)</f>
        <v>#REF!</v>
      </c>
      <c r="K21" s="136"/>
    </row>
    <row r="22" spans="1:11" x14ac:dyDescent="0.35">
      <c r="A22" t="s">
        <v>668</v>
      </c>
      <c r="D22" t="s">
        <v>642</v>
      </c>
      <c r="E22" s="498" t="e">
        <f>VLOOKUP($O$2,#REF!,48,0)</f>
        <v>#REF!</v>
      </c>
      <c r="F22" s="498"/>
      <c r="H22" t="s">
        <v>669</v>
      </c>
      <c r="I22" t="s">
        <v>642</v>
      </c>
      <c r="J22" s="134" t="e">
        <f>VLOOKUP($O$2,#REF!,66,0)</f>
        <v>#REF!</v>
      </c>
      <c r="K22" s="136"/>
    </row>
    <row r="23" spans="1:11" x14ac:dyDescent="0.35">
      <c r="J23" s="135"/>
      <c r="K23" s="136"/>
    </row>
    <row r="24" spans="1:11" x14ac:dyDescent="0.35">
      <c r="J24" s="136"/>
      <c r="K24" s="136"/>
    </row>
    <row r="25" spans="1:11" ht="19.5" customHeight="1" x14ac:dyDescent="0.35">
      <c r="A25" t="s">
        <v>670</v>
      </c>
      <c r="D25" t="s">
        <v>642</v>
      </c>
      <c r="E25" s="494" t="e">
        <f>VLOOKUP($O$2,#REF!,53,0)</f>
        <v>#REF!</v>
      </c>
      <c r="F25" s="494"/>
      <c r="H25" t="s">
        <v>671</v>
      </c>
      <c r="I25" t="s">
        <v>642</v>
      </c>
      <c r="J25" s="505" t="e">
        <f>VLOOKUP($O$2,#REF!,68,0)</f>
        <v>#REF!</v>
      </c>
      <c r="K25" s="505"/>
    </row>
    <row r="29" spans="1:11" x14ac:dyDescent="0.35">
      <c r="A29" s="495" t="s">
        <v>672</v>
      </c>
      <c r="B29" s="495"/>
      <c r="C29" s="495"/>
      <c r="D29" t="s">
        <v>642</v>
      </c>
    </row>
    <row r="30" spans="1:11" x14ac:dyDescent="0.35">
      <c r="A30" s="495" t="s">
        <v>673</v>
      </c>
      <c r="B30" s="495"/>
      <c r="C30" s="495"/>
      <c r="D30" t="s">
        <v>642</v>
      </c>
      <c r="E30" s="499" t="e">
        <f>VLOOKUP($O$2,#REF!,71,0)</f>
        <v>#REF!</v>
      </c>
      <c r="F30" s="499"/>
      <c r="J30" s="137"/>
      <c r="K30" s="137"/>
    </row>
    <row r="31" spans="1:11" x14ac:dyDescent="0.35">
      <c r="A31" s="495" t="s">
        <v>674</v>
      </c>
      <c r="B31" s="495"/>
      <c r="C31" s="495"/>
      <c r="D31" t="s">
        <v>642</v>
      </c>
      <c r="E31" s="499" t="e">
        <f>VLOOKUP($O$2,#REF!,72,0)</f>
        <v>#REF!</v>
      </c>
      <c r="F31" s="499"/>
      <c r="J31" s="138"/>
      <c r="K31" s="138"/>
    </row>
    <row r="32" spans="1:11" x14ac:dyDescent="0.35">
      <c r="A32" s="495" t="s">
        <v>675</v>
      </c>
      <c r="B32" s="495"/>
      <c r="C32" s="495"/>
      <c r="D32" t="s">
        <v>642</v>
      </c>
      <c r="E32" s="499" t="e">
        <f>VLOOKUP($O$2,#REF!,73,0)</f>
        <v>#REF!</v>
      </c>
      <c r="F32" s="499"/>
      <c r="J32" s="139"/>
      <c r="K32" s="139"/>
    </row>
    <row r="33" spans="1:11" x14ac:dyDescent="0.35">
      <c r="A33" s="495" t="s">
        <v>676</v>
      </c>
      <c r="B33" s="495"/>
      <c r="C33" s="495"/>
      <c r="D33" t="s">
        <v>642</v>
      </c>
      <c r="E33" s="499" t="e">
        <f>VLOOKUP($O$2,#REF!,74,0)</f>
        <v>#REF!</v>
      </c>
      <c r="F33" s="499"/>
      <c r="J33" s="138"/>
      <c r="K33" s="138"/>
    </row>
    <row r="34" spans="1:11" x14ac:dyDescent="0.35">
      <c r="A34" s="495" t="s">
        <v>677</v>
      </c>
      <c r="B34" s="495"/>
      <c r="C34" s="495"/>
      <c r="D34" t="s">
        <v>642</v>
      </c>
      <c r="E34" s="499" t="e">
        <f>VLOOKUP($O$2,#REF!,75,0)</f>
        <v>#REF!</v>
      </c>
      <c r="F34" s="499"/>
      <c r="J34" s="139"/>
      <c r="K34" s="139"/>
    </row>
    <row r="35" spans="1:11" x14ac:dyDescent="0.35">
      <c r="A35" s="495" t="s">
        <v>678</v>
      </c>
      <c r="B35" s="495"/>
      <c r="C35" s="495"/>
      <c r="D35" t="s">
        <v>642</v>
      </c>
      <c r="E35" s="499" t="e">
        <f>VLOOKUP($O$2,#REF!,76,0)</f>
        <v>#REF!</v>
      </c>
      <c r="F35" s="499"/>
      <c r="J35" s="139"/>
      <c r="K35" s="139"/>
    </row>
    <row r="38" spans="1:11" x14ac:dyDescent="0.35">
      <c r="A38" t="s">
        <v>679</v>
      </c>
      <c r="D38" t="s">
        <v>642</v>
      </c>
      <c r="E38" s="500">
        <v>0</v>
      </c>
      <c r="F38" s="500"/>
      <c r="G38" s="500"/>
      <c r="H38" s="500"/>
      <c r="I38" s="500"/>
      <c r="J38" s="500"/>
      <c r="K38" s="140"/>
    </row>
    <row r="40" spans="1:11" ht="29" customHeight="1" x14ac:dyDescent="0.35">
      <c r="A40" t="s">
        <v>680</v>
      </c>
      <c r="D40" t="s">
        <v>642</v>
      </c>
      <c r="E40" s="503">
        <v>0</v>
      </c>
      <c r="F40" s="503"/>
      <c r="G40" s="503"/>
      <c r="H40" s="503"/>
      <c r="I40" s="503"/>
      <c r="J40" s="503"/>
      <c r="K40" s="141"/>
    </row>
    <row r="51" spans="1:11" x14ac:dyDescent="0.35">
      <c r="A51" s="497" t="s">
        <v>681</v>
      </c>
      <c r="B51" s="502" t="s">
        <v>50</v>
      </c>
      <c r="C51" s="502"/>
      <c r="D51" s="501">
        <v>19</v>
      </c>
      <c r="E51" s="501"/>
      <c r="H51" s="504"/>
      <c r="I51" s="495"/>
      <c r="J51" s="495"/>
      <c r="K51" s="132"/>
    </row>
    <row r="52" spans="1:11" ht="15" customHeight="1" x14ac:dyDescent="0.35">
      <c r="A52" s="497"/>
      <c r="B52" s="502" t="s">
        <v>682</v>
      </c>
      <c r="C52" s="502"/>
      <c r="D52" s="501">
        <f>D53+D54</f>
        <v>19</v>
      </c>
      <c r="E52" s="501"/>
      <c r="H52" s="504"/>
      <c r="I52" s="495"/>
      <c r="J52" s="495"/>
      <c r="K52" s="132"/>
    </row>
    <row r="53" spans="1:11" x14ac:dyDescent="0.35">
      <c r="A53" s="497"/>
      <c r="B53" s="502" t="s">
        <v>646</v>
      </c>
      <c r="C53" s="502"/>
      <c r="D53" s="501">
        <v>19</v>
      </c>
      <c r="E53" s="501"/>
      <c r="H53" s="504"/>
      <c r="I53" s="495"/>
      <c r="J53" s="495"/>
      <c r="K53" s="132"/>
    </row>
    <row r="54" spans="1:11" x14ac:dyDescent="0.35">
      <c r="A54" s="497"/>
      <c r="B54" s="502" t="s">
        <v>52</v>
      </c>
      <c r="C54" s="502"/>
      <c r="D54" s="501">
        <v>0</v>
      </c>
      <c r="E54" s="501"/>
      <c r="H54" s="504"/>
      <c r="I54" s="495"/>
      <c r="J54" s="495"/>
      <c r="K54" s="132"/>
    </row>
    <row r="55" spans="1:11" x14ac:dyDescent="0.35">
      <c r="A55" s="497"/>
      <c r="B55" s="502" t="s">
        <v>683</v>
      </c>
      <c r="C55" s="502"/>
      <c r="D55" s="501">
        <v>0</v>
      </c>
      <c r="E55" s="501"/>
      <c r="H55" s="504"/>
      <c r="I55" s="495"/>
      <c r="J55" s="495"/>
      <c r="K55" s="132"/>
    </row>
    <row r="56" spans="1:11" x14ac:dyDescent="0.35">
      <c r="A56" s="497"/>
      <c r="B56" s="502" t="s">
        <v>684</v>
      </c>
      <c r="C56" s="502"/>
      <c r="D56" s="501">
        <v>0</v>
      </c>
      <c r="E56" s="501"/>
      <c r="H56" s="504"/>
      <c r="I56" s="495"/>
      <c r="J56" s="495"/>
      <c r="K56" s="132"/>
    </row>
    <row r="57" spans="1:11" x14ac:dyDescent="0.35">
      <c r="A57" s="497"/>
      <c r="B57" s="502" t="s">
        <v>685</v>
      </c>
      <c r="C57" s="502"/>
      <c r="D57" s="501">
        <v>3</v>
      </c>
      <c r="E57" s="501"/>
      <c r="H57" s="504"/>
      <c r="I57" s="495"/>
      <c r="J57" s="495"/>
      <c r="K57" s="132"/>
    </row>
    <row r="58" spans="1:11" x14ac:dyDescent="0.35">
      <c r="B58" s="502" t="s">
        <v>62</v>
      </c>
      <c r="C58" s="502"/>
      <c r="D58" s="501">
        <v>0</v>
      </c>
      <c r="E58" s="501"/>
    </row>
    <row r="59" spans="1:11" x14ac:dyDescent="0.35">
      <c r="B59" s="502" t="s">
        <v>686</v>
      </c>
      <c r="C59" s="502"/>
      <c r="D59" s="501">
        <v>0</v>
      </c>
      <c r="E59" s="501"/>
      <c r="I59" s="132"/>
      <c r="J59" s="132"/>
      <c r="K59" s="132"/>
    </row>
  </sheetData>
  <mergeCells count="57">
    <mergeCell ref="B59:C59"/>
    <mergeCell ref="I54:J54"/>
    <mergeCell ref="B53:C53"/>
    <mergeCell ref="I55:J55"/>
    <mergeCell ref="D57:E57"/>
    <mergeCell ref="B55:C55"/>
    <mergeCell ref="D56:E56"/>
    <mergeCell ref="B57:C57"/>
    <mergeCell ref="I53:J53"/>
    <mergeCell ref="D55:E55"/>
    <mergeCell ref="B54:C54"/>
    <mergeCell ref="D59:E59"/>
    <mergeCell ref="B58:C58"/>
    <mergeCell ref="B56:C56"/>
    <mergeCell ref="H51:H53"/>
    <mergeCell ref="I57:J57"/>
    <mergeCell ref="E35:F35"/>
    <mergeCell ref="I56:J56"/>
    <mergeCell ref="E22:F22"/>
    <mergeCell ref="E18:F18"/>
    <mergeCell ref="D51:E51"/>
    <mergeCell ref="J25:K25"/>
    <mergeCell ref="E34:F34"/>
    <mergeCell ref="I51:J51"/>
    <mergeCell ref="E19:F19"/>
    <mergeCell ref="D58:E58"/>
    <mergeCell ref="A31:C31"/>
    <mergeCell ref="A33:C33"/>
    <mergeCell ref="A29:C29"/>
    <mergeCell ref="A30:C30"/>
    <mergeCell ref="D54:E54"/>
    <mergeCell ref="B51:C51"/>
    <mergeCell ref="D53:E53"/>
    <mergeCell ref="D52:E52"/>
    <mergeCell ref="B52:C52"/>
    <mergeCell ref="A32:C32"/>
    <mergeCell ref="E32:F32"/>
    <mergeCell ref="E31:F31"/>
    <mergeCell ref="E33:F33"/>
    <mergeCell ref="E40:J40"/>
    <mergeCell ref="H54:H57"/>
    <mergeCell ref="A2:L2"/>
    <mergeCell ref="A3:L3"/>
    <mergeCell ref="E20:F20"/>
    <mergeCell ref="E16:F16"/>
    <mergeCell ref="I52:J52"/>
    <mergeCell ref="E15:F15"/>
    <mergeCell ref="E14:F14"/>
    <mergeCell ref="A34:C34"/>
    <mergeCell ref="A35:C35"/>
    <mergeCell ref="J5:K5"/>
    <mergeCell ref="A51:A57"/>
    <mergeCell ref="E25:F25"/>
    <mergeCell ref="E21:F21"/>
    <mergeCell ref="E17:F17"/>
    <mergeCell ref="E30:F30"/>
    <mergeCell ref="E38:J38"/>
  </mergeCells>
  <pageMargins left="0.31527777777777799" right="0.196527777777778" top="0.55138888888888904" bottom="0.35416666666666702" header="0.51180555555555496" footer="0.511805555555554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topLeftCell="A2" zoomScale="77" workbookViewId="0">
      <pane xSplit="3" ySplit="2" topLeftCell="D11" activePane="bottomRight" state="frozen"/>
      <selection pane="topRight" activeCell="A2" sqref="A2"/>
      <selection pane="bottomLeft" activeCell="A2" sqref="A2"/>
      <selection pane="bottomRight" activeCell="D3" sqref="D3"/>
    </sheetView>
  </sheetViews>
  <sheetFormatPr defaultColWidth="9" defaultRowHeight="14.5" x14ac:dyDescent="0.35"/>
  <cols>
    <col min="1" max="2" width="8.453125" customWidth="1"/>
    <col min="3" max="3" width="25.6328125" customWidth="1"/>
    <col min="4" max="4" width="14.6328125" customWidth="1"/>
    <col min="5" max="5" width="12.54296875" style="136" customWidth="1"/>
    <col min="6" max="6" width="14.08984375" customWidth="1"/>
    <col min="7" max="7" width="12.36328125" customWidth="1"/>
    <col min="8" max="1025" width="8.453125" customWidth="1"/>
  </cols>
  <sheetData>
    <row r="1" spans="1:7" x14ac:dyDescent="0.35">
      <c r="A1" t="s">
        <v>687</v>
      </c>
      <c r="D1" s="110"/>
    </row>
    <row r="2" spans="1:7" x14ac:dyDescent="0.35">
      <c r="D2" s="110" t="s">
        <v>688</v>
      </c>
      <c r="F2" t="s">
        <v>689</v>
      </c>
    </row>
    <row r="3" spans="1:7" x14ac:dyDescent="0.35">
      <c r="A3" s="113" t="s">
        <v>690</v>
      </c>
      <c r="B3" s="113" t="s">
        <v>691</v>
      </c>
      <c r="C3" s="113" t="s">
        <v>692</v>
      </c>
      <c r="D3" s="114" t="s">
        <v>693</v>
      </c>
      <c r="E3" s="142" t="s">
        <v>694</v>
      </c>
      <c r="F3" s="113" t="s">
        <v>695</v>
      </c>
    </row>
    <row r="4" spans="1:7" x14ac:dyDescent="0.35">
      <c r="A4" s="113" t="s">
        <v>444</v>
      </c>
      <c r="B4" s="113" t="s">
        <v>138</v>
      </c>
      <c r="C4" s="113" t="s">
        <v>696</v>
      </c>
      <c r="D4" s="114">
        <v>400000</v>
      </c>
      <c r="E4" s="142">
        <v>300000</v>
      </c>
      <c r="F4" s="114">
        <v>400000</v>
      </c>
      <c r="G4" s="119">
        <f t="shared" ref="G4:G34" si="0">F4-D4</f>
        <v>0</v>
      </c>
    </row>
    <row r="5" spans="1:7" x14ac:dyDescent="0.35">
      <c r="A5" s="113"/>
      <c r="B5" s="113" t="s">
        <v>100</v>
      </c>
      <c r="C5" s="113" t="s">
        <v>697</v>
      </c>
      <c r="D5" s="114">
        <v>400000</v>
      </c>
      <c r="E5" s="142">
        <v>300000</v>
      </c>
      <c r="F5" s="114">
        <v>400000</v>
      </c>
      <c r="G5" s="119">
        <f t="shared" si="0"/>
        <v>0</v>
      </c>
    </row>
    <row r="6" spans="1:7" x14ac:dyDescent="0.35">
      <c r="A6" s="113"/>
      <c r="B6" s="113" t="s">
        <v>77</v>
      </c>
      <c r="C6" s="113" t="s">
        <v>698</v>
      </c>
      <c r="D6" s="114">
        <v>400000</v>
      </c>
      <c r="E6" s="142">
        <v>300000</v>
      </c>
      <c r="F6" s="114">
        <v>400000</v>
      </c>
      <c r="G6" s="119">
        <f t="shared" si="0"/>
        <v>0</v>
      </c>
    </row>
    <row r="7" spans="1:7" x14ac:dyDescent="0.35">
      <c r="A7" s="113"/>
      <c r="B7" s="113" t="s">
        <v>360</v>
      </c>
      <c r="C7" s="113" t="s">
        <v>447</v>
      </c>
      <c r="D7" s="114">
        <v>500000</v>
      </c>
      <c r="E7" s="142">
        <v>300000</v>
      </c>
      <c r="F7" s="114">
        <v>500000</v>
      </c>
      <c r="G7" s="119">
        <f t="shared" si="0"/>
        <v>0</v>
      </c>
    </row>
    <row r="8" spans="1:7" x14ac:dyDescent="0.35">
      <c r="A8" s="113"/>
      <c r="B8" s="113" t="s">
        <v>205</v>
      </c>
      <c r="C8" s="113" t="s">
        <v>699</v>
      </c>
      <c r="D8" s="114">
        <v>600000</v>
      </c>
      <c r="E8" s="142">
        <v>300000</v>
      </c>
      <c r="F8" s="114">
        <v>700000</v>
      </c>
      <c r="G8" s="119">
        <f t="shared" si="0"/>
        <v>100000</v>
      </c>
    </row>
    <row r="9" spans="1:7" x14ac:dyDescent="0.35">
      <c r="A9" s="113"/>
      <c r="B9" s="113" t="s">
        <v>107</v>
      </c>
      <c r="C9" s="113" t="s">
        <v>700</v>
      </c>
      <c r="D9" s="114">
        <v>900000</v>
      </c>
      <c r="E9" s="142">
        <v>400000</v>
      </c>
      <c r="F9" s="114">
        <v>1200000</v>
      </c>
      <c r="G9" s="119">
        <f t="shared" si="0"/>
        <v>300000</v>
      </c>
    </row>
    <row r="10" spans="1:7" x14ac:dyDescent="0.35">
      <c r="A10" s="113"/>
      <c r="B10" s="113" t="s">
        <v>94</v>
      </c>
      <c r="C10" s="113" t="s">
        <v>701</v>
      </c>
      <c r="D10" s="114">
        <v>1200000</v>
      </c>
      <c r="E10" s="142">
        <v>500000</v>
      </c>
      <c r="F10" s="114">
        <v>1500000</v>
      </c>
      <c r="G10" s="119">
        <f t="shared" si="0"/>
        <v>300000</v>
      </c>
    </row>
    <row r="11" spans="1:7" x14ac:dyDescent="0.35">
      <c r="A11" s="113" t="s">
        <v>352</v>
      </c>
      <c r="B11" s="113" t="s">
        <v>165</v>
      </c>
      <c r="C11" s="113" t="s">
        <v>697</v>
      </c>
      <c r="D11" s="114">
        <v>400000</v>
      </c>
      <c r="E11" s="142">
        <v>300000</v>
      </c>
      <c r="F11" s="114">
        <v>400000</v>
      </c>
      <c r="G11" s="119">
        <f t="shared" si="0"/>
        <v>0</v>
      </c>
    </row>
    <row r="12" spans="1:7" x14ac:dyDescent="0.35">
      <c r="A12" s="113"/>
      <c r="B12" s="113" t="s">
        <v>177</v>
      </c>
      <c r="C12" s="113" t="s">
        <v>465</v>
      </c>
      <c r="D12" s="114">
        <v>800000</v>
      </c>
      <c r="E12" s="142">
        <v>300000</v>
      </c>
      <c r="F12" s="114">
        <v>900000</v>
      </c>
      <c r="G12" s="119">
        <f t="shared" si="0"/>
        <v>100000</v>
      </c>
    </row>
    <row r="13" spans="1:7" x14ac:dyDescent="0.35">
      <c r="A13" s="113"/>
      <c r="B13" s="113" t="s">
        <v>379</v>
      </c>
      <c r="C13" s="113" t="s">
        <v>459</v>
      </c>
      <c r="D13" s="114">
        <v>900000</v>
      </c>
      <c r="E13" s="142">
        <v>300000</v>
      </c>
      <c r="F13" s="114">
        <v>900000</v>
      </c>
      <c r="G13" s="119">
        <f t="shared" si="0"/>
        <v>0</v>
      </c>
    </row>
    <row r="14" spans="1:7" x14ac:dyDescent="0.35">
      <c r="A14" s="113"/>
      <c r="B14" s="113" t="s">
        <v>158</v>
      </c>
      <c r="C14" s="113" t="s">
        <v>702</v>
      </c>
      <c r="D14" s="114">
        <v>1200000</v>
      </c>
      <c r="E14" s="142">
        <v>300000</v>
      </c>
      <c r="F14" s="114">
        <v>1200000</v>
      </c>
      <c r="G14" s="119">
        <f t="shared" si="0"/>
        <v>0</v>
      </c>
    </row>
    <row r="15" spans="1:7" x14ac:dyDescent="0.35">
      <c r="A15" s="113"/>
      <c r="B15" s="113" t="s">
        <v>226</v>
      </c>
      <c r="C15" s="113" t="s">
        <v>703</v>
      </c>
      <c r="D15" s="114">
        <v>900000</v>
      </c>
      <c r="E15" s="142">
        <v>300000</v>
      </c>
      <c r="F15" s="114">
        <v>900000</v>
      </c>
      <c r="G15" s="119">
        <f t="shared" si="0"/>
        <v>0</v>
      </c>
    </row>
    <row r="16" spans="1:7" x14ac:dyDescent="0.35">
      <c r="A16" s="113"/>
      <c r="B16" s="113" t="s">
        <v>334</v>
      </c>
      <c r="C16" s="113" t="s">
        <v>704</v>
      </c>
      <c r="D16" s="114">
        <v>600000</v>
      </c>
      <c r="E16" s="142">
        <v>300000</v>
      </c>
      <c r="F16" s="114">
        <v>600000</v>
      </c>
      <c r="G16" s="119">
        <f t="shared" si="0"/>
        <v>0</v>
      </c>
    </row>
    <row r="17" spans="1:7" x14ac:dyDescent="0.35">
      <c r="A17" s="113"/>
      <c r="B17" s="113" t="s">
        <v>114</v>
      </c>
      <c r="C17" s="113" t="s">
        <v>705</v>
      </c>
      <c r="D17" s="114">
        <v>1700000</v>
      </c>
      <c r="E17" s="142">
        <v>500000</v>
      </c>
      <c r="F17" s="114">
        <v>1700000</v>
      </c>
      <c r="G17" s="119">
        <f t="shared" si="0"/>
        <v>0</v>
      </c>
    </row>
    <row r="18" spans="1:7" x14ac:dyDescent="0.35">
      <c r="A18" s="113"/>
      <c r="B18" s="113" t="s">
        <v>189</v>
      </c>
      <c r="C18" s="113" t="s">
        <v>705</v>
      </c>
      <c r="D18" s="114">
        <v>1500000</v>
      </c>
      <c r="E18" s="142">
        <v>400000</v>
      </c>
      <c r="F18" s="114">
        <v>1500000</v>
      </c>
      <c r="G18" s="119">
        <f t="shared" si="0"/>
        <v>0</v>
      </c>
    </row>
    <row r="19" spans="1:7" x14ac:dyDescent="0.35">
      <c r="A19" s="113"/>
      <c r="B19" s="113" t="s">
        <v>87</v>
      </c>
      <c r="C19" s="113" t="s">
        <v>706</v>
      </c>
      <c r="D19" s="114">
        <v>2200000</v>
      </c>
      <c r="E19" s="142">
        <v>750000</v>
      </c>
      <c r="F19" s="114">
        <v>2200000</v>
      </c>
      <c r="G19" s="119">
        <f t="shared" si="0"/>
        <v>0</v>
      </c>
    </row>
    <row r="20" spans="1:7" x14ac:dyDescent="0.35">
      <c r="A20" s="113" t="s">
        <v>346</v>
      </c>
      <c r="B20" s="113" t="s">
        <v>353</v>
      </c>
      <c r="C20" s="113" t="s">
        <v>697</v>
      </c>
      <c r="D20" s="114">
        <v>400000</v>
      </c>
      <c r="E20" s="142">
        <v>300000</v>
      </c>
      <c r="F20" s="114">
        <v>400000</v>
      </c>
      <c r="G20" s="119">
        <f t="shared" si="0"/>
        <v>0</v>
      </c>
    </row>
    <row r="21" spans="1:7" x14ac:dyDescent="0.35">
      <c r="A21" s="113"/>
      <c r="B21" s="113" t="s">
        <v>275</v>
      </c>
      <c r="C21" s="113" t="s">
        <v>453</v>
      </c>
      <c r="D21" s="114">
        <v>900000</v>
      </c>
      <c r="E21" s="142">
        <v>300000</v>
      </c>
      <c r="F21" s="114">
        <v>1000000</v>
      </c>
      <c r="G21" s="119">
        <f t="shared" si="0"/>
        <v>100000</v>
      </c>
    </row>
    <row r="22" spans="1:7" x14ac:dyDescent="0.35">
      <c r="A22" s="113"/>
      <c r="B22" s="113" t="s">
        <v>707</v>
      </c>
      <c r="C22" s="113" t="s">
        <v>708</v>
      </c>
      <c r="D22" s="114">
        <v>1150000</v>
      </c>
      <c r="E22" s="142"/>
      <c r="F22" s="114">
        <v>1250000</v>
      </c>
      <c r="G22" s="119">
        <f t="shared" si="0"/>
        <v>100000</v>
      </c>
    </row>
    <row r="23" spans="1:7" x14ac:dyDescent="0.35">
      <c r="A23" s="113"/>
      <c r="B23" s="113" t="s">
        <v>709</v>
      </c>
      <c r="C23" s="113" t="s">
        <v>710</v>
      </c>
      <c r="D23" s="114">
        <v>1200000</v>
      </c>
      <c r="E23" s="142">
        <v>300000</v>
      </c>
      <c r="F23" s="114">
        <v>1200000</v>
      </c>
      <c r="G23" s="119">
        <f t="shared" si="0"/>
        <v>0</v>
      </c>
    </row>
    <row r="24" spans="1:7" x14ac:dyDescent="0.35">
      <c r="A24" s="113"/>
      <c r="B24" s="113" t="s">
        <v>303</v>
      </c>
      <c r="C24" s="113" t="s">
        <v>711</v>
      </c>
      <c r="D24" s="114">
        <v>900000</v>
      </c>
      <c r="E24" s="142">
        <v>300000</v>
      </c>
      <c r="F24" s="114">
        <v>900000</v>
      </c>
      <c r="G24" s="119">
        <f t="shared" si="0"/>
        <v>0</v>
      </c>
    </row>
    <row r="25" spans="1:7" x14ac:dyDescent="0.35">
      <c r="A25" s="113"/>
      <c r="B25" s="113" t="s">
        <v>712</v>
      </c>
      <c r="C25" s="113" t="s">
        <v>713</v>
      </c>
      <c r="D25" s="114">
        <v>1150000</v>
      </c>
      <c r="E25" s="142"/>
      <c r="F25" s="114">
        <v>1300000</v>
      </c>
      <c r="G25" s="119">
        <f t="shared" si="0"/>
        <v>150000</v>
      </c>
    </row>
    <row r="26" spans="1:7" x14ac:dyDescent="0.35">
      <c r="A26" s="113"/>
      <c r="B26" s="113" t="s">
        <v>429</v>
      </c>
      <c r="C26" s="113" t="s">
        <v>714</v>
      </c>
      <c r="D26" s="114">
        <v>600000</v>
      </c>
      <c r="E26" s="142">
        <v>300000</v>
      </c>
      <c r="F26" s="114">
        <v>600000</v>
      </c>
      <c r="G26" s="119">
        <f t="shared" si="0"/>
        <v>0</v>
      </c>
    </row>
    <row r="27" spans="1:7" x14ac:dyDescent="0.35">
      <c r="A27" s="113"/>
      <c r="B27" s="113" t="s">
        <v>133</v>
      </c>
      <c r="C27" s="113" t="s">
        <v>715</v>
      </c>
      <c r="D27" s="114">
        <v>1700000</v>
      </c>
      <c r="E27" s="142">
        <v>500000</v>
      </c>
      <c r="F27" s="114">
        <v>2000000</v>
      </c>
      <c r="G27" s="119">
        <f t="shared" si="0"/>
        <v>300000</v>
      </c>
    </row>
    <row r="28" spans="1:7" x14ac:dyDescent="0.35">
      <c r="A28" s="113"/>
      <c r="B28" s="113" t="s">
        <v>184</v>
      </c>
      <c r="C28" s="113" t="s">
        <v>716</v>
      </c>
      <c r="D28" s="114">
        <v>2200000</v>
      </c>
      <c r="E28" s="142">
        <v>750000</v>
      </c>
      <c r="F28" s="114">
        <v>2300000</v>
      </c>
      <c r="G28" s="119">
        <f t="shared" si="0"/>
        <v>100000</v>
      </c>
    </row>
    <row r="29" spans="1:7" x14ac:dyDescent="0.35">
      <c r="A29" s="113" t="s">
        <v>214</v>
      </c>
      <c r="B29" s="113" t="s">
        <v>171</v>
      </c>
      <c r="C29" s="113" t="s">
        <v>717</v>
      </c>
      <c r="D29" s="114">
        <v>1200000</v>
      </c>
      <c r="E29" s="142">
        <v>300000</v>
      </c>
      <c r="F29" s="114">
        <v>1200000</v>
      </c>
      <c r="G29" s="119">
        <f t="shared" si="0"/>
        <v>0</v>
      </c>
    </row>
    <row r="30" spans="1:7" x14ac:dyDescent="0.35">
      <c r="A30" s="113"/>
      <c r="B30" s="113" t="s">
        <v>216</v>
      </c>
      <c r="C30" s="113" t="s">
        <v>718</v>
      </c>
      <c r="D30" s="114">
        <v>1300000</v>
      </c>
      <c r="E30" s="142">
        <v>500000</v>
      </c>
      <c r="F30" s="114">
        <v>1300000</v>
      </c>
      <c r="G30" s="119">
        <f t="shared" si="0"/>
        <v>0</v>
      </c>
    </row>
    <row r="31" spans="1:7" x14ac:dyDescent="0.35">
      <c r="A31" s="113"/>
      <c r="B31" s="113" t="s">
        <v>719</v>
      </c>
      <c r="C31" s="113" t="s">
        <v>720</v>
      </c>
      <c r="D31" s="114">
        <v>850000</v>
      </c>
      <c r="E31" s="142">
        <v>300000</v>
      </c>
      <c r="F31" s="114">
        <v>850000</v>
      </c>
      <c r="G31" s="119">
        <f t="shared" si="0"/>
        <v>0</v>
      </c>
    </row>
    <row r="32" spans="1:7" x14ac:dyDescent="0.35">
      <c r="A32" s="113"/>
      <c r="B32" s="113" t="s">
        <v>319</v>
      </c>
      <c r="C32" s="113" t="s">
        <v>721</v>
      </c>
      <c r="D32" s="114">
        <v>450000</v>
      </c>
      <c r="E32" s="142">
        <v>300000</v>
      </c>
      <c r="F32" s="114">
        <v>450000</v>
      </c>
      <c r="G32" s="119">
        <f t="shared" si="0"/>
        <v>0</v>
      </c>
    </row>
    <row r="33" spans="1:7" x14ac:dyDescent="0.35">
      <c r="A33" s="113"/>
      <c r="B33" s="113" t="s">
        <v>722</v>
      </c>
      <c r="C33" s="113" t="s">
        <v>723</v>
      </c>
      <c r="D33" s="114">
        <v>2300000</v>
      </c>
      <c r="E33" s="142">
        <v>750000</v>
      </c>
      <c r="F33" s="114">
        <v>2500000</v>
      </c>
      <c r="G33" s="119">
        <f t="shared" si="0"/>
        <v>200000</v>
      </c>
    </row>
    <row r="34" spans="1:7" x14ac:dyDescent="0.35">
      <c r="A34" s="113"/>
      <c r="B34" s="113" t="s">
        <v>122</v>
      </c>
      <c r="C34" s="113" t="s">
        <v>724</v>
      </c>
      <c r="D34" s="114">
        <v>1850000</v>
      </c>
      <c r="E34" s="142">
        <v>750000</v>
      </c>
      <c r="F34" s="114">
        <v>2200000</v>
      </c>
      <c r="G34" s="119">
        <f t="shared" si="0"/>
        <v>350000</v>
      </c>
    </row>
  </sheetData>
  <pageMargins left="0.7" right="0.7" top="0.75" bottom="0.75" header="0.51180555555555496" footer="0.511805555555554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zoomScale="77" workbookViewId="0">
      <pane xSplit="2" ySplit="1" topLeftCell="C2" activePane="bottomRight" state="frozen"/>
      <selection pane="topRight"/>
      <selection pane="bottomLeft"/>
      <selection pane="bottomRight" activeCell="J24" sqref="J24"/>
    </sheetView>
  </sheetViews>
  <sheetFormatPr defaultColWidth="9" defaultRowHeight="14.5" x14ac:dyDescent="0.35"/>
  <cols>
    <col min="1" max="1" width="4" style="143" customWidth="1"/>
    <col min="2" max="2" width="12.36328125" customWidth="1"/>
    <col min="3" max="3" width="10.36328125" style="143" customWidth="1"/>
    <col min="4" max="4" width="12.81640625" style="143" customWidth="1"/>
    <col min="5" max="5" width="18.08984375" style="143" customWidth="1"/>
    <col min="6" max="6" width="14.54296875" style="143" customWidth="1"/>
    <col min="7" max="7" width="14.54296875" style="136" customWidth="1"/>
    <col min="8" max="13" width="14.54296875" style="143" customWidth="1"/>
    <col min="14" max="14" width="11.6328125" customWidth="1"/>
    <col min="15" max="15" width="12.6328125" customWidth="1"/>
    <col min="16" max="16" width="11.6328125" customWidth="1"/>
    <col min="17" max="1025" width="8.453125" customWidth="1"/>
  </cols>
  <sheetData>
    <row r="1" spans="1:16" ht="15" x14ac:dyDescent="0.3">
      <c r="A1" s="507" t="s">
        <v>35</v>
      </c>
      <c r="B1" s="507" t="s">
        <v>725</v>
      </c>
      <c r="C1" s="506" t="s">
        <v>726</v>
      </c>
      <c r="D1" s="506"/>
      <c r="E1" s="506"/>
      <c r="F1" s="506"/>
      <c r="G1" s="506"/>
      <c r="H1" s="506"/>
      <c r="I1" s="506"/>
      <c r="J1" s="506"/>
      <c r="K1" s="506"/>
      <c r="L1" s="506"/>
      <c r="M1" s="506"/>
    </row>
    <row r="2" spans="1:16" ht="15.5" x14ac:dyDescent="0.35">
      <c r="A2" s="507"/>
      <c r="B2" s="507"/>
      <c r="C2" s="134" t="s">
        <v>727</v>
      </c>
      <c r="D2" s="134" t="s">
        <v>728</v>
      </c>
      <c r="E2" s="134" t="s">
        <v>729</v>
      </c>
      <c r="F2" s="134" t="s">
        <v>730</v>
      </c>
      <c r="G2" s="134" t="s">
        <v>731</v>
      </c>
      <c r="H2" s="134" t="s">
        <v>732</v>
      </c>
      <c r="I2" s="134" t="s">
        <v>733</v>
      </c>
      <c r="J2" s="134" t="s">
        <v>734</v>
      </c>
      <c r="K2" s="134" t="s">
        <v>735</v>
      </c>
      <c r="L2" s="144" t="s">
        <v>736</v>
      </c>
      <c r="M2" s="144" t="s">
        <v>737</v>
      </c>
      <c r="N2" s="144" t="s">
        <v>737</v>
      </c>
      <c r="O2" s="144" t="s">
        <v>727</v>
      </c>
      <c r="P2" s="144" t="s">
        <v>728</v>
      </c>
    </row>
    <row r="3" spans="1:16" ht="15.5" x14ac:dyDescent="0.35">
      <c r="A3" s="144">
        <v>1</v>
      </c>
      <c r="B3" s="104" t="s">
        <v>738</v>
      </c>
      <c r="C3" s="134">
        <v>100000</v>
      </c>
      <c r="D3" s="134">
        <v>140000</v>
      </c>
      <c r="E3" s="134">
        <v>140000</v>
      </c>
      <c r="F3" s="134">
        <v>140000</v>
      </c>
      <c r="G3" s="134">
        <v>40000</v>
      </c>
      <c r="H3" s="134">
        <v>40000</v>
      </c>
      <c r="I3" s="134">
        <v>40000</v>
      </c>
      <c r="J3" s="134">
        <v>40000</v>
      </c>
      <c r="K3" s="134">
        <v>40000</v>
      </c>
      <c r="L3" s="134">
        <v>40000</v>
      </c>
      <c r="M3" s="134">
        <v>40000</v>
      </c>
      <c r="N3" s="134">
        <v>40000</v>
      </c>
      <c r="O3" s="134">
        <v>40000</v>
      </c>
      <c r="P3" s="134">
        <v>40000</v>
      </c>
    </row>
    <row r="4" spans="1:16" ht="15.5" x14ac:dyDescent="0.35">
      <c r="A4" s="144">
        <v>2</v>
      </c>
      <c r="B4" s="104" t="s">
        <v>739</v>
      </c>
      <c r="C4" s="134">
        <v>100000</v>
      </c>
      <c r="D4" s="134">
        <v>140000</v>
      </c>
      <c r="E4" s="134">
        <v>140000</v>
      </c>
      <c r="F4" s="134">
        <v>140000</v>
      </c>
      <c r="G4" s="134">
        <v>40000</v>
      </c>
      <c r="H4" s="134">
        <v>40000</v>
      </c>
      <c r="I4" s="134">
        <v>40000</v>
      </c>
      <c r="J4" s="134">
        <v>40000</v>
      </c>
      <c r="K4" s="134">
        <v>40000</v>
      </c>
      <c r="L4" s="134">
        <v>40000</v>
      </c>
      <c r="M4" s="134">
        <v>40000</v>
      </c>
      <c r="N4" s="134">
        <v>40000</v>
      </c>
      <c r="O4" s="134">
        <v>40000</v>
      </c>
      <c r="P4" s="134">
        <v>40000</v>
      </c>
    </row>
    <row r="5" spans="1:16" ht="15.5" x14ac:dyDescent="0.35">
      <c r="A5" s="144">
        <v>3</v>
      </c>
      <c r="B5" s="104" t="s">
        <v>740</v>
      </c>
      <c r="C5" s="134">
        <v>100000</v>
      </c>
      <c r="D5" s="134">
        <v>140000</v>
      </c>
      <c r="E5" s="134">
        <v>140000</v>
      </c>
      <c r="F5" s="134">
        <v>140000</v>
      </c>
      <c r="G5" s="134">
        <v>40000</v>
      </c>
      <c r="H5" s="134">
        <v>40000</v>
      </c>
      <c r="I5" s="134">
        <v>40000</v>
      </c>
      <c r="J5" s="134">
        <v>40000</v>
      </c>
      <c r="K5" s="134">
        <v>40000</v>
      </c>
      <c r="L5" s="134">
        <v>40000</v>
      </c>
      <c r="M5" s="134">
        <v>40000</v>
      </c>
      <c r="N5" s="134">
        <v>40000</v>
      </c>
      <c r="O5" s="134">
        <v>40000</v>
      </c>
      <c r="P5" s="134">
        <v>40000</v>
      </c>
    </row>
    <row r="6" spans="1:16" ht="15.5" x14ac:dyDescent="0.35">
      <c r="A6" s="144">
        <v>4</v>
      </c>
      <c r="B6" s="104" t="s">
        <v>741</v>
      </c>
      <c r="C6" s="134">
        <v>100000</v>
      </c>
      <c r="D6" s="134">
        <v>140000</v>
      </c>
      <c r="E6" s="134">
        <v>140000</v>
      </c>
      <c r="F6" s="134">
        <v>140000</v>
      </c>
      <c r="G6" s="134">
        <v>40000</v>
      </c>
      <c r="H6" s="134">
        <v>40000</v>
      </c>
      <c r="I6" s="134">
        <v>40000</v>
      </c>
      <c r="J6" s="134">
        <v>40000</v>
      </c>
      <c r="K6" s="134">
        <v>40000</v>
      </c>
      <c r="L6" s="134">
        <v>40000</v>
      </c>
      <c r="M6" s="134">
        <v>40000</v>
      </c>
      <c r="N6" s="134">
        <v>40000</v>
      </c>
      <c r="O6" s="134">
        <v>40000</v>
      </c>
      <c r="P6" s="134">
        <v>40000</v>
      </c>
    </row>
    <row r="7" spans="1:16" ht="15.5" x14ac:dyDescent="0.35">
      <c r="A7" s="144">
        <v>5</v>
      </c>
      <c r="B7" s="104" t="s">
        <v>742</v>
      </c>
      <c r="C7" s="134">
        <v>100000</v>
      </c>
      <c r="D7" s="134">
        <v>140000</v>
      </c>
      <c r="E7" s="134">
        <v>140000</v>
      </c>
      <c r="F7" s="134">
        <v>140000</v>
      </c>
      <c r="G7" s="134">
        <v>40000</v>
      </c>
      <c r="H7" s="134">
        <v>40000</v>
      </c>
      <c r="I7" s="134">
        <v>40000</v>
      </c>
      <c r="J7" s="134">
        <v>40000</v>
      </c>
      <c r="K7" s="134">
        <v>40000</v>
      </c>
      <c r="L7" s="134">
        <v>40000</v>
      </c>
      <c r="M7" s="134">
        <v>40000</v>
      </c>
      <c r="N7" s="134">
        <v>40000</v>
      </c>
      <c r="O7" s="134">
        <v>40000</v>
      </c>
      <c r="P7" s="134">
        <v>40000</v>
      </c>
    </row>
    <row r="8" spans="1:16" ht="15.5" x14ac:dyDescent="0.35">
      <c r="A8" s="144">
        <v>6</v>
      </c>
      <c r="B8" s="104" t="s">
        <v>743</v>
      </c>
      <c r="C8" s="134">
        <v>100000</v>
      </c>
      <c r="D8" s="134">
        <v>140000</v>
      </c>
      <c r="E8" s="134">
        <v>140000</v>
      </c>
      <c r="F8" s="134">
        <v>140000</v>
      </c>
      <c r="G8" s="134">
        <v>40000</v>
      </c>
      <c r="H8" s="134">
        <v>40000</v>
      </c>
      <c r="I8" s="134">
        <v>40000</v>
      </c>
      <c r="J8" s="134">
        <v>40000</v>
      </c>
      <c r="K8" s="134">
        <v>40000</v>
      </c>
      <c r="L8" s="134">
        <v>40000</v>
      </c>
      <c r="M8" s="134">
        <v>40000</v>
      </c>
      <c r="N8" s="134">
        <v>40000</v>
      </c>
      <c r="O8" s="134">
        <v>40000</v>
      </c>
      <c r="P8" s="134">
        <v>40000</v>
      </c>
    </row>
    <row r="9" spans="1:16" ht="15.5" x14ac:dyDescent="0.35">
      <c r="A9" s="144">
        <v>7</v>
      </c>
      <c r="B9" s="104" t="s">
        <v>744</v>
      </c>
      <c r="C9" s="134">
        <v>100000</v>
      </c>
      <c r="D9" s="134">
        <v>140000</v>
      </c>
      <c r="E9" s="134">
        <v>140000</v>
      </c>
      <c r="F9" s="134">
        <v>140000</v>
      </c>
      <c r="G9" s="134">
        <v>40000</v>
      </c>
      <c r="H9" s="134">
        <v>40000</v>
      </c>
      <c r="I9" s="134">
        <v>40000</v>
      </c>
      <c r="J9" s="134">
        <v>40000</v>
      </c>
      <c r="K9" s="134">
        <v>40000</v>
      </c>
      <c r="L9" s="134">
        <v>40000</v>
      </c>
      <c r="M9" s="134">
        <v>40000</v>
      </c>
      <c r="N9" s="134">
        <v>40000</v>
      </c>
      <c r="O9" s="134">
        <v>40000</v>
      </c>
      <c r="P9" s="134">
        <v>40000</v>
      </c>
    </row>
    <row r="10" spans="1:16" ht="15.5" x14ac:dyDescent="0.35">
      <c r="A10" s="144">
        <v>8</v>
      </c>
      <c r="B10" s="104" t="s">
        <v>745</v>
      </c>
      <c r="C10" s="134">
        <v>400000</v>
      </c>
      <c r="D10" s="134" t="s">
        <v>746</v>
      </c>
      <c r="E10" s="134" t="s">
        <v>746</v>
      </c>
      <c r="F10" s="134" t="s">
        <v>746</v>
      </c>
      <c r="G10" s="134">
        <v>40000</v>
      </c>
      <c r="H10" s="134">
        <v>40000</v>
      </c>
      <c r="I10" s="134">
        <v>40000</v>
      </c>
      <c r="J10" s="134">
        <v>40000</v>
      </c>
      <c r="K10" s="134">
        <v>40000</v>
      </c>
      <c r="L10" s="134">
        <v>40000</v>
      </c>
      <c r="M10" s="134">
        <v>40000</v>
      </c>
      <c r="N10" s="134">
        <v>40000</v>
      </c>
      <c r="O10" s="134">
        <v>40000</v>
      </c>
      <c r="P10" s="134">
        <v>40000</v>
      </c>
    </row>
    <row r="11" spans="1:16" ht="15.5" x14ac:dyDescent="0.35">
      <c r="A11" s="144">
        <v>9</v>
      </c>
      <c r="B11" s="104" t="s">
        <v>747</v>
      </c>
      <c r="C11" s="134">
        <v>400000</v>
      </c>
      <c r="D11" s="134" t="s">
        <v>746</v>
      </c>
      <c r="E11" s="134" t="s">
        <v>746</v>
      </c>
      <c r="F11" s="134" t="s">
        <v>746</v>
      </c>
      <c r="G11" s="134">
        <v>40000</v>
      </c>
      <c r="H11" s="134">
        <v>40000</v>
      </c>
      <c r="I11" s="134">
        <v>40000</v>
      </c>
      <c r="J11" s="134">
        <v>40000</v>
      </c>
      <c r="K11" s="134">
        <v>40000</v>
      </c>
      <c r="L11" s="134">
        <v>40000</v>
      </c>
      <c r="M11" s="134">
        <v>40000</v>
      </c>
      <c r="N11" s="134">
        <v>40000</v>
      </c>
      <c r="O11" s="134">
        <v>40000</v>
      </c>
      <c r="P11" s="134">
        <v>40000</v>
      </c>
    </row>
    <row r="12" spans="1:16" ht="15.5" x14ac:dyDescent="0.35">
      <c r="A12" s="144">
        <v>10</v>
      </c>
      <c r="B12" s="104" t="s">
        <v>748</v>
      </c>
      <c r="C12" s="134">
        <v>400000</v>
      </c>
      <c r="D12" s="134" t="s">
        <v>746</v>
      </c>
      <c r="E12" s="134" t="s">
        <v>746</v>
      </c>
      <c r="F12" s="134" t="s">
        <v>746</v>
      </c>
      <c r="G12" s="134">
        <v>40000</v>
      </c>
      <c r="H12" s="134">
        <v>40000</v>
      </c>
      <c r="I12" s="134">
        <v>40000</v>
      </c>
      <c r="J12" s="134">
        <v>40000</v>
      </c>
      <c r="K12" s="134">
        <v>40000</v>
      </c>
      <c r="L12" s="134">
        <v>40000</v>
      </c>
      <c r="M12" s="134">
        <v>40000</v>
      </c>
      <c r="N12" s="134">
        <v>40000</v>
      </c>
      <c r="O12" s="134">
        <v>40000</v>
      </c>
      <c r="P12" s="134">
        <v>40000</v>
      </c>
    </row>
    <row r="13" spans="1:16" ht="15.5" x14ac:dyDescent="0.35">
      <c r="A13" s="144">
        <v>11</v>
      </c>
      <c r="B13" s="104" t="s">
        <v>749</v>
      </c>
      <c r="C13" s="134">
        <v>400000</v>
      </c>
      <c r="D13" s="134" t="s">
        <v>746</v>
      </c>
      <c r="E13" s="134" t="s">
        <v>746</v>
      </c>
      <c r="F13" s="134" t="s">
        <v>746</v>
      </c>
      <c r="G13" s="134">
        <v>40000</v>
      </c>
      <c r="H13" s="134">
        <v>40000</v>
      </c>
      <c r="I13" s="134">
        <v>40000</v>
      </c>
      <c r="J13" s="134">
        <v>40000</v>
      </c>
      <c r="K13" s="134">
        <v>40000</v>
      </c>
      <c r="L13" s="134">
        <v>40000</v>
      </c>
      <c r="M13" s="134">
        <v>40000</v>
      </c>
      <c r="N13" s="134">
        <v>40000</v>
      </c>
      <c r="O13" s="134">
        <v>40000</v>
      </c>
      <c r="P13" s="134">
        <v>40000</v>
      </c>
    </row>
    <row r="14" spans="1:16" ht="15.5" x14ac:dyDescent="0.35">
      <c r="A14" s="144">
        <v>12</v>
      </c>
      <c r="B14" s="104" t="s">
        <v>750</v>
      </c>
      <c r="C14" s="134">
        <v>400000</v>
      </c>
      <c r="D14" s="134" t="s">
        <v>746</v>
      </c>
      <c r="E14" s="134" t="s">
        <v>746</v>
      </c>
      <c r="F14" s="134" t="s">
        <v>746</v>
      </c>
      <c r="G14" s="134">
        <v>40000</v>
      </c>
      <c r="H14" s="134">
        <v>40000</v>
      </c>
      <c r="I14" s="134">
        <v>40000</v>
      </c>
      <c r="J14" s="134">
        <v>40000</v>
      </c>
      <c r="K14" s="134">
        <v>40000</v>
      </c>
      <c r="L14" s="134">
        <v>40000</v>
      </c>
      <c r="M14" s="134">
        <v>40000</v>
      </c>
      <c r="N14" s="134">
        <v>40000</v>
      </c>
      <c r="O14" s="134">
        <v>40000</v>
      </c>
      <c r="P14" s="134">
        <v>40000</v>
      </c>
    </row>
    <row r="15" spans="1:16" ht="15.5" x14ac:dyDescent="0.35">
      <c r="A15" s="144">
        <v>13</v>
      </c>
      <c r="B15" s="104" t="s">
        <v>751</v>
      </c>
      <c r="C15" s="134">
        <v>400000</v>
      </c>
      <c r="D15" s="134" t="s">
        <v>746</v>
      </c>
      <c r="E15" s="134" t="s">
        <v>746</v>
      </c>
      <c r="F15" s="134" t="s">
        <v>746</v>
      </c>
      <c r="G15" s="134">
        <v>40000</v>
      </c>
      <c r="H15" s="134">
        <v>40000</v>
      </c>
      <c r="I15" s="134">
        <v>40000</v>
      </c>
      <c r="J15" s="134">
        <v>40000</v>
      </c>
      <c r="K15" s="134">
        <v>40000</v>
      </c>
      <c r="L15" s="134">
        <v>40000</v>
      </c>
      <c r="M15" s="134">
        <v>40000</v>
      </c>
      <c r="N15" s="134">
        <v>40000</v>
      </c>
      <c r="O15" s="134">
        <v>40000</v>
      </c>
      <c r="P15" s="134">
        <v>40000</v>
      </c>
    </row>
    <row r="16" spans="1:16" ht="15.5" x14ac:dyDescent="0.35">
      <c r="A16" s="144">
        <v>14</v>
      </c>
      <c r="B16" s="104" t="s">
        <v>752</v>
      </c>
      <c r="C16" s="134">
        <v>100000</v>
      </c>
      <c r="D16" s="134">
        <v>140000</v>
      </c>
      <c r="E16" s="134">
        <v>140000</v>
      </c>
      <c r="F16" s="134">
        <v>140000</v>
      </c>
      <c r="G16" s="134">
        <v>40000</v>
      </c>
      <c r="H16" s="134">
        <v>40000</v>
      </c>
      <c r="I16" s="134">
        <v>40000</v>
      </c>
      <c r="J16" s="134">
        <v>40000</v>
      </c>
      <c r="K16" s="134">
        <v>40000</v>
      </c>
      <c r="L16" s="134">
        <v>40000</v>
      </c>
      <c r="M16" s="134">
        <v>40000</v>
      </c>
      <c r="N16" s="134">
        <v>40000</v>
      </c>
      <c r="O16" s="134">
        <v>40000</v>
      </c>
      <c r="P16" s="134">
        <v>40000</v>
      </c>
    </row>
    <row r="17" spans="1:16" ht="15.5" x14ac:dyDescent="0.35">
      <c r="A17" s="144">
        <v>15</v>
      </c>
      <c r="B17" s="104" t="s">
        <v>753</v>
      </c>
      <c r="C17" s="134">
        <v>100000</v>
      </c>
      <c r="D17" s="134">
        <v>140000</v>
      </c>
      <c r="E17" s="134">
        <v>140000</v>
      </c>
      <c r="F17" s="134">
        <v>140000</v>
      </c>
      <c r="G17" s="134">
        <v>40000</v>
      </c>
      <c r="H17" s="134">
        <v>40000</v>
      </c>
      <c r="I17" s="134">
        <v>40000</v>
      </c>
      <c r="J17" s="134">
        <v>40000</v>
      </c>
      <c r="K17" s="134">
        <v>40000</v>
      </c>
      <c r="L17" s="134">
        <v>40000</v>
      </c>
      <c r="M17" s="134">
        <v>40000</v>
      </c>
      <c r="N17" s="134">
        <v>40000</v>
      </c>
      <c r="O17" s="134">
        <v>40000</v>
      </c>
      <c r="P17" s="134">
        <v>40000</v>
      </c>
    </row>
    <row r="18" spans="1:16" ht="15.5" x14ac:dyDescent="0.35">
      <c r="A18" s="144">
        <v>16</v>
      </c>
      <c r="B18" s="104" t="s">
        <v>754</v>
      </c>
      <c r="C18" s="134">
        <v>100000</v>
      </c>
      <c r="D18" s="134">
        <v>140000</v>
      </c>
      <c r="E18" s="134">
        <v>140000</v>
      </c>
      <c r="F18" s="134">
        <v>140000</v>
      </c>
      <c r="G18" s="134">
        <v>40000</v>
      </c>
      <c r="H18" s="134">
        <v>40000</v>
      </c>
      <c r="I18" s="134">
        <v>40000</v>
      </c>
      <c r="J18" s="134">
        <v>40000</v>
      </c>
      <c r="K18" s="134">
        <v>40000</v>
      </c>
      <c r="L18" s="134">
        <v>40000</v>
      </c>
      <c r="M18" s="134">
        <v>40000</v>
      </c>
      <c r="N18" s="134">
        <v>40000</v>
      </c>
      <c r="O18" s="134">
        <v>40000</v>
      </c>
      <c r="P18" s="134">
        <v>40000</v>
      </c>
    </row>
    <row r="19" spans="1:16" ht="15.5" x14ac:dyDescent="0.35">
      <c r="A19" s="144">
        <v>17</v>
      </c>
      <c r="B19" s="104" t="s">
        <v>755</v>
      </c>
      <c r="C19" s="134">
        <v>100000</v>
      </c>
      <c r="D19" s="134">
        <v>140000</v>
      </c>
      <c r="E19" s="134">
        <v>140000</v>
      </c>
      <c r="F19" s="134">
        <v>140000</v>
      </c>
      <c r="G19" s="134">
        <v>40000</v>
      </c>
      <c r="H19" s="134">
        <v>40000</v>
      </c>
      <c r="I19" s="134">
        <v>40000</v>
      </c>
      <c r="J19" s="134">
        <v>40000</v>
      </c>
      <c r="K19" s="134">
        <v>40000</v>
      </c>
      <c r="L19" s="134">
        <v>40000</v>
      </c>
      <c r="M19" s="134">
        <v>40000</v>
      </c>
      <c r="N19" s="134">
        <v>40000</v>
      </c>
      <c r="O19" s="134">
        <v>40000</v>
      </c>
      <c r="P19" s="134">
        <v>40000</v>
      </c>
    </row>
    <row r="20" spans="1:16" ht="15.5" x14ac:dyDescent="0.35">
      <c r="A20" s="144">
        <v>18</v>
      </c>
      <c r="B20" s="104" t="s">
        <v>756</v>
      </c>
      <c r="C20" s="134">
        <v>100000</v>
      </c>
      <c r="D20" s="134">
        <v>140000</v>
      </c>
      <c r="E20" s="134">
        <v>140000</v>
      </c>
      <c r="F20" s="134">
        <v>140000</v>
      </c>
      <c r="G20" s="134">
        <v>40000</v>
      </c>
      <c r="H20" s="134">
        <v>40000</v>
      </c>
      <c r="I20" s="134">
        <v>40000</v>
      </c>
      <c r="J20" s="134">
        <v>40000</v>
      </c>
      <c r="K20" s="134">
        <v>40000</v>
      </c>
      <c r="L20" s="134">
        <v>40000</v>
      </c>
      <c r="M20" s="134">
        <v>40000</v>
      </c>
      <c r="N20" s="134">
        <v>40000</v>
      </c>
      <c r="O20" s="134">
        <v>40000</v>
      </c>
      <c r="P20" s="134">
        <v>40000</v>
      </c>
    </row>
    <row r="21" spans="1:16" ht="15.5" x14ac:dyDescent="0.35">
      <c r="A21" s="144">
        <v>19</v>
      </c>
      <c r="B21" s="104" t="s">
        <v>757</v>
      </c>
      <c r="C21" s="134">
        <v>240000</v>
      </c>
      <c r="D21" s="134">
        <v>240000</v>
      </c>
      <c r="E21" s="134">
        <v>240000</v>
      </c>
      <c r="F21" s="134">
        <v>40000</v>
      </c>
      <c r="G21" s="134">
        <v>40000</v>
      </c>
      <c r="H21" s="134">
        <v>40000</v>
      </c>
      <c r="I21" s="146">
        <v>40000</v>
      </c>
      <c r="J21" s="146"/>
      <c r="K21" s="146"/>
      <c r="L21" s="134"/>
      <c r="M21" s="134"/>
      <c r="N21" s="134"/>
      <c r="O21" s="134"/>
      <c r="P21" s="134">
        <v>40000</v>
      </c>
    </row>
    <row r="22" spans="1:16" ht="15.5" x14ac:dyDescent="0.35">
      <c r="A22" s="144">
        <v>20</v>
      </c>
      <c r="B22" s="104" t="s">
        <v>758</v>
      </c>
      <c r="C22" s="134">
        <v>240000</v>
      </c>
      <c r="D22" s="134">
        <v>240000</v>
      </c>
      <c r="E22" s="134">
        <v>240000</v>
      </c>
      <c r="F22" s="134">
        <v>40000</v>
      </c>
      <c r="G22" s="134">
        <v>40000</v>
      </c>
      <c r="H22" s="134">
        <v>40000</v>
      </c>
      <c r="I22" s="146">
        <v>40000</v>
      </c>
      <c r="J22" s="146"/>
      <c r="K22" s="146"/>
      <c r="L22" s="134"/>
      <c r="M22" s="134"/>
      <c r="N22" s="134"/>
      <c r="O22" s="134"/>
      <c r="P22" s="134">
        <v>40000</v>
      </c>
    </row>
    <row r="23" spans="1:16" ht="15.5" x14ac:dyDescent="0.35">
      <c r="A23" s="144">
        <v>23</v>
      </c>
      <c r="B23" s="104" t="s">
        <v>759</v>
      </c>
      <c r="C23" s="134">
        <v>240000</v>
      </c>
      <c r="D23" s="134">
        <v>240000</v>
      </c>
      <c r="E23" s="134">
        <v>40000</v>
      </c>
      <c r="F23" s="134">
        <v>40000</v>
      </c>
      <c r="G23" s="134">
        <v>40000</v>
      </c>
      <c r="H23" s="134">
        <v>40000</v>
      </c>
      <c r="I23" s="146">
        <v>40000</v>
      </c>
      <c r="J23" s="146"/>
      <c r="K23" s="146"/>
      <c r="L23" s="134"/>
      <c r="M23" s="134"/>
      <c r="N23" s="134"/>
      <c r="O23" s="134"/>
      <c r="P23" s="134">
        <v>40000</v>
      </c>
    </row>
    <row r="24" spans="1:16" ht="15.5" x14ac:dyDescent="0.35">
      <c r="A24" s="144">
        <v>24</v>
      </c>
      <c r="B24" s="104" t="s">
        <v>760</v>
      </c>
      <c r="C24" s="134">
        <v>240000</v>
      </c>
      <c r="D24" s="134">
        <v>240000</v>
      </c>
      <c r="E24" s="134">
        <v>40000</v>
      </c>
      <c r="F24" s="134">
        <v>40000</v>
      </c>
      <c r="G24" s="134">
        <v>40000</v>
      </c>
      <c r="H24" s="134">
        <v>40000</v>
      </c>
      <c r="I24" s="146">
        <v>40000</v>
      </c>
      <c r="J24" s="146"/>
      <c r="K24" s="146"/>
      <c r="L24" s="134"/>
      <c r="M24" s="134"/>
      <c r="N24" s="134"/>
      <c r="O24" s="134"/>
      <c r="P24" s="134">
        <v>40000</v>
      </c>
    </row>
    <row r="25" spans="1:16" ht="15.5" x14ac:dyDescent="0.35">
      <c r="A25" s="144">
        <v>25</v>
      </c>
      <c r="B25" s="104" t="s">
        <v>761</v>
      </c>
      <c r="C25" s="134">
        <v>100000</v>
      </c>
      <c r="D25" s="134">
        <v>140000</v>
      </c>
      <c r="E25" s="134">
        <v>140000</v>
      </c>
      <c r="F25" s="134">
        <v>140000</v>
      </c>
      <c r="G25" s="134">
        <v>40000</v>
      </c>
      <c r="H25" s="134">
        <v>40000</v>
      </c>
      <c r="I25" s="134">
        <v>40000</v>
      </c>
      <c r="J25" s="134">
        <v>40000</v>
      </c>
      <c r="K25" s="134">
        <v>40000</v>
      </c>
      <c r="L25" s="134">
        <v>40000</v>
      </c>
      <c r="M25" s="134">
        <v>40000</v>
      </c>
      <c r="N25" s="134">
        <v>40000</v>
      </c>
      <c r="O25" s="134">
        <v>40000</v>
      </c>
      <c r="P25" s="134">
        <v>40000</v>
      </c>
    </row>
  </sheetData>
  <mergeCells count="3">
    <mergeCell ref="C1:M1"/>
    <mergeCell ref="A1:A2"/>
    <mergeCell ref="B1:B2"/>
  </mergeCells>
  <pageMargins left="0.7" right="0.7" top="0.75" bottom="0.75" header="0.51180555555555496" footer="0.5118055555555549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7"/>
  <sheetViews>
    <sheetView zoomScale="68" workbookViewId="0">
      <pane xSplit="2" ySplit="2" topLeftCell="V3" activePane="bottomRight" state="frozen"/>
      <selection pane="topRight"/>
      <selection pane="bottomLeft"/>
      <selection pane="bottomRight" activeCell="W8" sqref="W8"/>
    </sheetView>
  </sheetViews>
  <sheetFormatPr defaultColWidth="9" defaultRowHeight="14.5" x14ac:dyDescent="0.35"/>
  <cols>
    <col min="1" max="1" width="4" style="143" customWidth="1"/>
    <col min="2" max="2" width="17.1796875" customWidth="1"/>
    <col min="3" max="3" width="19.6328125" style="136" customWidth="1"/>
    <col min="4" max="32" width="14.54296875" style="136" customWidth="1"/>
    <col min="33" max="34" width="14.453125" customWidth="1"/>
    <col min="35" max="35" width="18.1796875" customWidth="1"/>
    <col min="36" max="1034" width="8.453125" customWidth="1"/>
  </cols>
  <sheetData>
    <row r="1" spans="1:36" x14ac:dyDescent="0.35">
      <c r="A1" s="512" t="s">
        <v>35</v>
      </c>
      <c r="B1" s="512" t="s">
        <v>725</v>
      </c>
      <c r="C1" s="513" t="s">
        <v>762</v>
      </c>
      <c r="D1" s="514">
        <v>2024</v>
      </c>
      <c r="E1" s="514"/>
      <c r="F1" s="514"/>
      <c r="G1" s="514"/>
      <c r="H1" s="514"/>
      <c r="I1" s="515">
        <v>2025</v>
      </c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7"/>
      <c r="U1" s="518">
        <v>2026</v>
      </c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20"/>
      <c r="AG1" s="510" t="s">
        <v>943</v>
      </c>
      <c r="AH1" s="258" t="s">
        <v>944</v>
      </c>
      <c r="AI1" s="508" t="s">
        <v>763</v>
      </c>
      <c r="AJ1" s="510" t="s">
        <v>764</v>
      </c>
    </row>
    <row r="2" spans="1:36" x14ac:dyDescent="0.35">
      <c r="A2" s="512"/>
      <c r="B2" s="512"/>
      <c r="C2" s="513"/>
      <c r="D2" s="454" t="s">
        <v>733</v>
      </c>
      <c r="E2" s="454" t="s">
        <v>734</v>
      </c>
      <c r="F2" s="454" t="s">
        <v>765</v>
      </c>
      <c r="G2" s="454" t="s">
        <v>736</v>
      </c>
      <c r="H2" s="454" t="s">
        <v>737</v>
      </c>
      <c r="I2" s="455" t="s">
        <v>767</v>
      </c>
      <c r="J2" s="455" t="s">
        <v>727</v>
      </c>
      <c r="K2" s="455" t="s">
        <v>728</v>
      </c>
      <c r="L2" s="455" t="s">
        <v>729</v>
      </c>
      <c r="M2" s="455" t="s">
        <v>766</v>
      </c>
      <c r="N2" s="455" t="s">
        <v>731</v>
      </c>
      <c r="O2" s="456" t="s">
        <v>732</v>
      </c>
      <c r="P2" s="456" t="s">
        <v>899</v>
      </c>
      <c r="Q2" s="456" t="s">
        <v>900</v>
      </c>
      <c r="R2" s="456" t="s">
        <v>765</v>
      </c>
      <c r="S2" s="456" t="s">
        <v>979</v>
      </c>
      <c r="T2" s="456" t="s">
        <v>737</v>
      </c>
      <c r="U2" s="461" t="s">
        <v>901</v>
      </c>
      <c r="V2" s="462" t="s">
        <v>954</v>
      </c>
      <c r="W2" s="462" t="s">
        <v>728</v>
      </c>
      <c r="X2" s="460" t="s">
        <v>982</v>
      </c>
      <c r="Y2" s="460" t="s">
        <v>730</v>
      </c>
      <c r="Z2" s="460" t="s">
        <v>731</v>
      </c>
      <c r="AA2" s="460" t="s">
        <v>732</v>
      </c>
      <c r="AB2" s="460" t="s">
        <v>733</v>
      </c>
      <c r="AC2" s="460" t="s">
        <v>900</v>
      </c>
      <c r="AD2" s="460" t="s">
        <v>765</v>
      </c>
      <c r="AE2" s="460" t="s">
        <v>979</v>
      </c>
      <c r="AF2" s="460" t="s">
        <v>986</v>
      </c>
      <c r="AG2" s="511"/>
      <c r="AH2" s="258" t="s">
        <v>945</v>
      </c>
      <c r="AI2" s="509"/>
      <c r="AJ2" s="511"/>
    </row>
    <row r="3" spans="1:36" ht="14.4" customHeight="1" x14ac:dyDescent="0.35">
      <c r="A3" s="148">
        <v>1</v>
      </c>
      <c r="B3" s="149" t="s">
        <v>877</v>
      </c>
      <c r="C3" s="147">
        <v>6650000</v>
      </c>
      <c r="D3" s="150">
        <v>600000</v>
      </c>
      <c r="E3" s="150">
        <v>600000</v>
      </c>
      <c r="F3" s="150">
        <v>0</v>
      </c>
      <c r="G3" s="150"/>
      <c r="H3" s="150">
        <v>600000</v>
      </c>
      <c r="I3" s="150">
        <v>600000</v>
      </c>
      <c r="J3" s="150">
        <v>600000</v>
      </c>
      <c r="K3" s="150">
        <v>600000</v>
      </c>
      <c r="L3" s="150">
        <v>600000</v>
      </c>
      <c r="M3" s="150">
        <v>600000</v>
      </c>
      <c r="N3" s="150">
        <v>600000</v>
      </c>
      <c r="O3" s="150">
        <v>600000</v>
      </c>
      <c r="P3" s="248">
        <v>600000</v>
      </c>
      <c r="Q3" s="248">
        <v>600000</v>
      </c>
      <c r="R3" s="248">
        <v>600000</v>
      </c>
      <c r="S3" s="248">
        <v>600000</v>
      </c>
      <c r="T3" s="248">
        <v>600000</v>
      </c>
      <c r="U3" s="248">
        <v>600000</v>
      </c>
      <c r="V3" s="248">
        <v>600000</v>
      </c>
      <c r="W3" s="248">
        <v>600000</v>
      </c>
      <c r="X3" s="246">
        <v>600000</v>
      </c>
      <c r="Y3" s="246">
        <v>600000</v>
      </c>
      <c r="Z3" s="246">
        <v>600000</v>
      </c>
      <c r="AA3" s="246">
        <v>200000</v>
      </c>
      <c r="AB3" s="246"/>
      <c r="AC3" s="246"/>
      <c r="AD3" s="246"/>
      <c r="AE3" s="246"/>
      <c r="AF3" s="246"/>
      <c r="AG3" s="147">
        <f>SUM(AH3:AI3)</f>
        <v>12800000</v>
      </c>
      <c r="AH3" s="246">
        <f>SUM(D3:W3)</f>
        <v>10800000</v>
      </c>
      <c r="AI3" s="246">
        <f>SUM(X3:AF3)</f>
        <v>2000000</v>
      </c>
      <c r="AJ3" s="113"/>
    </row>
    <row r="4" spans="1:36" x14ac:dyDescent="0.35">
      <c r="A4" s="148">
        <v>2</v>
      </c>
      <c r="B4" s="245" t="s">
        <v>745</v>
      </c>
      <c r="C4" s="246">
        <v>12000000</v>
      </c>
      <c r="D4" s="246"/>
      <c r="E4" s="246"/>
      <c r="F4" s="246"/>
      <c r="G4" s="246"/>
      <c r="H4" s="246"/>
      <c r="I4" s="248">
        <v>600000</v>
      </c>
      <c r="J4" s="150">
        <v>400000</v>
      </c>
      <c r="K4" s="150">
        <v>500000</v>
      </c>
      <c r="L4" s="150">
        <v>500000</v>
      </c>
      <c r="M4" s="150">
        <v>500000</v>
      </c>
      <c r="N4" s="150">
        <v>500000</v>
      </c>
      <c r="O4" s="150">
        <v>500000</v>
      </c>
      <c r="P4" s="150">
        <v>500000</v>
      </c>
      <c r="Q4" s="150">
        <v>500000</v>
      </c>
      <c r="R4" s="150">
        <v>500000</v>
      </c>
      <c r="S4" s="150">
        <v>500000</v>
      </c>
      <c r="T4" s="150">
        <v>500000</v>
      </c>
      <c r="U4" s="150">
        <v>500000</v>
      </c>
      <c r="V4" s="150">
        <v>500000</v>
      </c>
      <c r="W4" s="150">
        <v>500000</v>
      </c>
      <c r="X4" s="147">
        <v>500000</v>
      </c>
      <c r="Y4" s="147">
        <v>500000</v>
      </c>
      <c r="Z4" s="147">
        <v>500000</v>
      </c>
      <c r="AA4" s="147">
        <v>500000</v>
      </c>
      <c r="AB4" s="147">
        <v>500000</v>
      </c>
      <c r="AC4" s="147">
        <v>500000</v>
      </c>
      <c r="AD4" s="147">
        <v>500000</v>
      </c>
      <c r="AE4" s="147">
        <v>500000</v>
      </c>
      <c r="AF4" s="147">
        <v>500000</v>
      </c>
      <c r="AG4" s="147">
        <f t="shared" ref="AG4:AG7" si="0">SUM(AH4:AI4)</f>
        <v>12000000</v>
      </c>
      <c r="AH4" s="246">
        <f t="shared" ref="AH4:AH10" si="1">SUM(D4:W4)</f>
        <v>7500000</v>
      </c>
      <c r="AI4" s="246">
        <f t="shared" ref="AI4:AI10" si="2">SUM(X4:AF4)</f>
        <v>4500000</v>
      </c>
      <c r="AJ4" s="247"/>
    </row>
    <row r="5" spans="1:36" x14ac:dyDescent="0.35">
      <c r="A5" s="148">
        <v>4</v>
      </c>
      <c r="B5" s="374" t="s">
        <v>981</v>
      </c>
      <c r="C5" s="147">
        <v>1000000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50"/>
      <c r="O5" s="150"/>
      <c r="P5" s="150"/>
      <c r="Q5" s="150"/>
      <c r="R5" s="150"/>
      <c r="S5" s="150"/>
      <c r="T5" s="150"/>
      <c r="U5" s="150">
        <v>200000</v>
      </c>
      <c r="V5" s="150">
        <v>200000</v>
      </c>
      <c r="W5" s="150">
        <v>200000</v>
      </c>
      <c r="X5" s="406">
        <v>200000</v>
      </c>
      <c r="Y5" s="406">
        <v>200000</v>
      </c>
      <c r="Z5" s="459"/>
      <c r="AA5" s="406"/>
      <c r="AB5" s="459"/>
      <c r="AC5" s="459"/>
      <c r="AD5" s="459"/>
      <c r="AE5" s="459"/>
      <c r="AF5" s="459"/>
      <c r="AG5" s="147">
        <f t="shared" si="0"/>
        <v>1000000</v>
      </c>
      <c r="AH5" s="246">
        <f t="shared" si="1"/>
        <v>600000</v>
      </c>
      <c r="AI5" s="246">
        <f t="shared" si="2"/>
        <v>400000</v>
      </c>
      <c r="AJ5" s="375"/>
    </row>
    <row r="6" spans="1:36" x14ac:dyDescent="0.35">
      <c r="A6" s="148">
        <v>5</v>
      </c>
      <c r="B6" s="374" t="s">
        <v>987</v>
      </c>
      <c r="C6" s="147">
        <v>1500000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50"/>
      <c r="O6" s="150"/>
      <c r="P6" s="150"/>
      <c r="Q6" s="150"/>
      <c r="R6" s="150"/>
      <c r="S6" s="150"/>
      <c r="T6" s="150"/>
      <c r="U6" s="150"/>
      <c r="V6" s="150">
        <v>187500</v>
      </c>
      <c r="W6" s="150">
        <v>187500</v>
      </c>
      <c r="X6" s="406">
        <v>187500</v>
      </c>
      <c r="Y6" s="406">
        <v>187500</v>
      </c>
      <c r="Z6" s="406">
        <v>187500</v>
      </c>
      <c r="AA6" s="406">
        <v>187500</v>
      </c>
      <c r="AB6" s="406">
        <v>187500</v>
      </c>
      <c r="AC6" s="406">
        <v>187500</v>
      </c>
      <c r="AD6" s="406"/>
      <c r="AE6" s="406"/>
      <c r="AF6" s="406"/>
      <c r="AG6" s="147">
        <f t="shared" si="0"/>
        <v>1500000</v>
      </c>
      <c r="AH6" s="246">
        <f t="shared" si="1"/>
        <v>375000</v>
      </c>
      <c r="AI6" s="246">
        <f t="shared" si="2"/>
        <v>1125000</v>
      </c>
      <c r="AJ6" s="375"/>
    </row>
    <row r="7" spans="1:36" x14ac:dyDescent="0.35">
      <c r="A7" s="148">
        <v>6</v>
      </c>
      <c r="B7" s="374" t="s">
        <v>989</v>
      </c>
      <c r="C7" s="147">
        <v>3500000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50"/>
      <c r="O7" s="150"/>
      <c r="P7" s="150"/>
      <c r="Q7" s="150"/>
      <c r="R7" s="150"/>
      <c r="S7" s="150"/>
      <c r="T7" s="150"/>
      <c r="U7" s="150">
        <v>2500000</v>
      </c>
      <c r="V7" s="150">
        <v>875000</v>
      </c>
      <c r="W7" s="150">
        <v>125000</v>
      </c>
      <c r="X7" s="406"/>
      <c r="Y7" s="406"/>
      <c r="Z7" s="406"/>
      <c r="AA7" s="406"/>
      <c r="AB7" s="406"/>
      <c r="AC7" s="406"/>
      <c r="AD7" s="406"/>
      <c r="AE7" s="406"/>
      <c r="AF7" s="406"/>
      <c r="AG7" s="147">
        <f t="shared" si="0"/>
        <v>3500000</v>
      </c>
      <c r="AH7" s="246">
        <f t="shared" si="1"/>
        <v>3500000</v>
      </c>
      <c r="AI7" s="246">
        <f t="shared" si="2"/>
        <v>0</v>
      </c>
      <c r="AJ7" s="375"/>
    </row>
    <row r="8" spans="1:36" x14ac:dyDescent="0.35">
      <c r="A8" s="148">
        <v>7</v>
      </c>
      <c r="B8" s="374" t="s">
        <v>990</v>
      </c>
      <c r="C8" s="147">
        <v>2000000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50"/>
      <c r="O8" s="150"/>
      <c r="P8" s="150"/>
      <c r="Q8" s="150"/>
      <c r="R8" s="150"/>
      <c r="S8" s="150"/>
      <c r="T8" s="150"/>
      <c r="U8" s="150"/>
      <c r="V8" s="150"/>
      <c r="W8" s="150">
        <v>350000</v>
      </c>
      <c r="X8" s="406">
        <v>350000</v>
      </c>
      <c r="Y8" s="406">
        <v>350000</v>
      </c>
      <c r="Z8" s="406">
        <v>350000</v>
      </c>
      <c r="AA8" s="406">
        <v>300000</v>
      </c>
      <c r="AB8" s="406">
        <v>300000</v>
      </c>
      <c r="AC8" s="406"/>
      <c r="AD8" s="406"/>
      <c r="AE8" s="406"/>
      <c r="AF8" s="406"/>
      <c r="AG8" s="147">
        <f>SUM(W8:AB8)</f>
        <v>2000000</v>
      </c>
      <c r="AH8" s="246">
        <f t="shared" si="1"/>
        <v>350000</v>
      </c>
      <c r="AI8" s="246">
        <f t="shared" si="2"/>
        <v>1650000</v>
      </c>
      <c r="AJ8" s="375"/>
    </row>
    <row r="9" spans="1:36" x14ac:dyDescent="0.35">
      <c r="A9" s="148">
        <v>8</v>
      </c>
      <c r="B9" s="374" t="s">
        <v>998</v>
      </c>
      <c r="C9" s="147">
        <v>3000000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406">
        <v>1000000</v>
      </c>
      <c r="Y9" s="406">
        <v>1000000</v>
      </c>
      <c r="Z9" s="406">
        <v>1000000</v>
      </c>
      <c r="AA9" s="406"/>
      <c r="AB9" s="406"/>
      <c r="AC9" s="406"/>
      <c r="AD9" s="406"/>
      <c r="AE9" s="406"/>
      <c r="AF9" s="406"/>
      <c r="AG9" s="147">
        <f>SUM(W9:Y9)</f>
        <v>2000000</v>
      </c>
      <c r="AH9" s="246">
        <f t="shared" si="1"/>
        <v>0</v>
      </c>
      <c r="AI9" s="246">
        <f t="shared" si="2"/>
        <v>3000000</v>
      </c>
      <c r="AJ9" s="375"/>
    </row>
    <row r="10" spans="1:36" x14ac:dyDescent="0.35">
      <c r="A10" s="148">
        <v>9</v>
      </c>
      <c r="B10" s="374" t="s">
        <v>1000</v>
      </c>
      <c r="C10" s="147">
        <v>5000000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406">
        <v>1000000</v>
      </c>
      <c r="Y10" s="406">
        <v>1000000</v>
      </c>
      <c r="Z10" s="406">
        <v>1000000</v>
      </c>
      <c r="AA10" s="406">
        <v>1000000</v>
      </c>
      <c r="AB10" s="406">
        <v>1000000</v>
      </c>
      <c r="AC10" s="406"/>
      <c r="AD10" s="406"/>
      <c r="AE10" s="406"/>
      <c r="AF10" s="406"/>
      <c r="AG10" s="147">
        <f>SUM(X10:AB10)</f>
        <v>5000000</v>
      </c>
      <c r="AH10" s="246">
        <f t="shared" si="1"/>
        <v>0</v>
      </c>
      <c r="AI10" s="246">
        <f t="shared" si="2"/>
        <v>5000000</v>
      </c>
      <c r="AJ10" s="375"/>
    </row>
    <row r="11" spans="1:36" x14ac:dyDescent="0.35">
      <c r="B11" t="s">
        <v>898</v>
      </c>
      <c r="J11" s="136" t="s">
        <v>435</v>
      </c>
    </row>
    <row r="12" spans="1:36" x14ac:dyDescent="0.35">
      <c r="B12" s="136" t="s">
        <v>897</v>
      </c>
      <c r="C12" s="143"/>
    </row>
    <row r="13" spans="1:36" x14ac:dyDescent="0.35">
      <c r="A13" s="457" t="s">
        <v>983</v>
      </c>
      <c r="B13" s="136" t="s">
        <v>963</v>
      </c>
      <c r="C13" s="136">
        <f>12*300000</f>
        <v>3600000</v>
      </c>
      <c r="AG13" t="s">
        <v>435</v>
      </c>
      <c r="AI13" t="s">
        <v>435</v>
      </c>
    </row>
    <row r="14" spans="1:36" x14ac:dyDescent="0.35">
      <c r="B14" s="136" t="s">
        <v>896</v>
      </c>
      <c r="C14" s="136">
        <v>3350000</v>
      </c>
      <c r="K14" s="136" t="s">
        <v>435</v>
      </c>
      <c r="AH14" t="s">
        <v>435</v>
      </c>
    </row>
    <row r="15" spans="1:36" x14ac:dyDescent="0.35">
      <c r="B15" s="136"/>
      <c r="C15" s="249">
        <f>SUM(C13:C14)</f>
        <v>6950000</v>
      </c>
      <c r="D15" s="136" t="s">
        <v>999</v>
      </c>
      <c r="L15" s="136" t="s">
        <v>435</v>
      </c>
    </row>
    <row r="16" spans="1:36" x14ac:dyDescent="0.35">
      <c r="N16" s="136" t="s">
        <v>435</v>
      </c>
      <c r="AH16" t="s">
        <v>435</v>
      </c>
    </row>
    <row r="17" spans="1:35" x14ac:dyDescent="0.35">
      <c r="A17" s="457" t="s">
        <v>352</v>
      </c>
      <c r="B17" s="458" t="s">
        <v>984</v>
      </c>
    </row>
    <row r="18" spans="1:35" x14ac:dyDescent="0.35">
      <c r="B18" s="458" t="s">
        <v>985</v>
      </c>
      <c r="AI18" t="s">
        <v>435</v>
      </c>
    </row>
    <row r="19" spans="1:35" x14ac:dyDescent="0.35">
      <c r="B19" t="s">
        <v>988</v>
      </c>
      <c r="L19" s="136" t="s">
        <v>435</v>
      </c>
    </row>
    <row r="20" spans="1:35" x14ac:dyDescent="0.35">
      <c r="AI20" t="s">
        <v>435</v>
      </c>
    </row>
    <row r="22" spans="1:35" x14ac:dyDescent="0.35">
      <c r="O22" s="136" t="s">
        <v>435</v>
      </c>
    </row>
    <row r="23" spans="1:35" x14ac:dyDescent="0.35">
      <c r="S23" s="136" t="s">
        <v>950</v>
      </c>
      <c r="AG23" t="s">
        <v>435</v>
      </c>
    </row>
    <row r="26" spans="1:35" x14ac:dyDescent="0.35">
      <c r="AG26" t="s">
        <v>435</v>
      </c>
    </row>
    <row r="27" spans="1:35" x14ac:dyDescent="0.35">
      <c r="L27" s="136" t="s">
        <v>435</v>
      </c>
    </row>
  </sheetData>
  <mergeCells count="9">
    <mergeCell ref="AI1:AI2"/>
    <mergeCell ref="AJ1:AJ2"/>
    <mergeCell ref="AG1:AG2"/>
    <mergeCell ref="A1:A2"/>
    <mergeCell ref="B1:B2"/>
    <mergeCell ref="C1:C2"/>
    <mergeCell ref="D1:H1"/>
    <mergeCell ref="I1:T1"/>
    <mergeCell ref="U1:AF1"/>
  </mergeCells>
  <pageMargins left="0.7" right="0.7" top="0.75" bottom="0.75" header="0.51180555555555496" footer="0.51180555555555496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C69"/>
  <sheetViews>
    <sheetView tabSelected="1" zoomScale="68" zoomScaleNormal="65" workbookViewId="0">
      <pane xSplit="4" ySplit="4" topLeftCell="BC46" activePane="bottomRight" state="frozen"/>
      <selection pane="topRight"/>
      <selection pane="bottomLeft"/>
      <selection pane="bottomRight" activeCell="C7" sqref="C7:C66"/>
    </sheetView>
  </sheetViews>
  <sheetFormatPr defaultColWidth="9" defaultRowHeight="18.5" x14ac:dyDescent="0.45"/>
  <cols>
    <col min="1" max="1" width="7.36328125" style="151" customWidth="1"/>
    <col min="2" max="2" width="12.08984375" style="152" customWidth="1"/>
    <col min="3" max="3" width="47.36328125" style="153" customWidth="1"/>
    <col min="4" max="4" width="11.81640625" style="154" customWidth="1"/>
    <col min="5" max="5" width="15.08984375" style="151" customWidth="1"/>
    <col min="6" max="6" width="34.6328125" style="152" customWidth="1"/>
    <col min="7" max="7" width="13.81640625" style="155" customWidth="1"/>
    <col min="8" max="8" width="24.08984375" style="156" customWidth="1"/>
    <col min="9" max="9" width="12.6328125" style="367" customWidth="1"/>
    <col min="10" max="10" width="12.6328125" style="151" customWidth="1"/>
    <col min="11" max="11" width="17" style="151" customWidth="1"/>
    <col min="12" max="12" width="14.81640625" style="151" customWidth="1"/>
    <col min="13" max="13" width="9.36328125" style="157" customWidth="1"/>
    <col min="14" max="14" width="9.36328125" style="158" customWidth="1"/>
    <col min="15" max="15" width="25.08984375" style="359" customWidth="1"/>
    <col min="16" max="16" width="13.54296875" style="367" customWidth="1"/>
    <col min="17" max="18" width="11.6328125" style="157" customWidth="1"/>
    <col min="19" max="19" width="11.453125" style="435"/>
    <col min="20" max="20" width="13" style="159" customWidth="1"/>
    <col min="21" max="22" width="15.453125" style="159" customWidth="1"/>
    <col min="23" max="23" width="13.90625" style="448" customWidth="1"/>
    <col min="24" max="25" width="15.36328125" style="151" customWidth="1"/>
    <col min="26" max="26" width="16.08984375" style="151" customWidth="1"/>
    <col min="27" max="27" width="13.90625" style="152" customWidth="1"/>
    <col min="28" max="28" width="16" style="152" hidden="1" customWidth="1"/>
    <col min="29" max="29" width="15" style="152" customWidth="1"/>
    <col min="30" max="30" width="17.453125" style="152" customWidth="1"/>
    <col min="31" max="31" width="20.6328125" style="152" customWidth="1"/>
    <col min="32" max="32" width="22.08984375" style="152" customWidth="1"/>
    <col min="33" max="33" width="20.6328125" style="160" customWidth="1"/>
    <col min="34" max="34" width="16.08984375" style="152" customWidth="1"/>
    <col min="35" max="35" width="16.453125" style="152" customWidth="1"/>
    <col min="36" max="36" width="20.6328125" style="152" customWidth="1"/>
    <col min="37" max="37" width="17.1796875" style="161" customWidth="1"/>
    <col min="38" max="38" width="17.6328125" style="161" customWidth="1"/>
    <col min="39" max="39" width="17.81640625" style="152" customWidth="1"/>
    <col min="40" max="40" width="17.6328125" style="152" customWidth="1"/>
    <col min="41" max="41" width="18.08984375" style="162" customWidth="1"/>
    <col min="42" max="42" width="17.453125" style="152" customWidth="1"/>
    <col min="43" max="43" width="14.1796875" style="152" customWidth="1"/>
    <col min="44" max="44" width="17.6328125" style="152" bestFit="1" customWidth="1"/>
    <col min="45" max="45" width="16.54296875" style="152" bestFit="1" customWidth="1"/>
    <col min="46" max="46" width="15.36328125" style="152" customWidth="1"/>
    <col min="47" max="48" width="15.36328125" style="163" customWidth="1"/>
    <col min="49" max="49" width="20.90625" style="163" customWidth="1"/>
    <col min="50" max="50" width="18.6328125" style="163" customWidth="1"/>
    <col min="51" max="51" width="16.36328125" style="163" customWidth="1"/>
    <col min="52" max="52" width="15.1796875" style="163" customWidth="1"/>
    <col min="53" max="53" width="11.6328125" style="163" customWidth="1"/>
    <col min="54" max="54" width="21.81640625" style="163" bestFit="1" customWidth="1"/>
    <col min="55" max="55" width="23.6328125" style="163" bestFit="1" customWidth="1"/>
    <col min="56" max="56" width="20.90625" style="164" customWidth="1"/>
    <col min="57" max="57" width="17.453125" style="161" customWidth="1"/>
    <col min="58" max="58" width="16.54296875" style="165" customWidth="1"/>
    <col min="59" max="59" width="18" style="165" customWidth="1"/>
    <col min="60" max="60" width="18.1796875" style="165" customWidth="1"/>
    <col min="61" max="61" width="17" style="165" customWidth="1"/>
    <col min="62" max="62" width="14.81640625" style="165" customWidth="1"/>
    <col min="63" max="63" width="19.54296875" style="152" customWidth="1"/>
    <col min="64" max="64" width="17.1796875" style="152" customWidth="1"/>
    <col min="65" max="65" width="16.08984375" style="152" bestFit="1" customWidth="1"/>
    <col min="66" max="66" width="17" style="152" customWidth="1"/>
    <col min="67" max="67" width="13" style="152" customWidth="1"/>
    <col min="68" max="68" width="22" style="152" customWidth="1"/>
    <col min="69" max="69" width="14.08984375" style="152" customWidth="1"/>
    <col min="70" max="70" width="32.36328125" style="152" customWidth="1"/>
    <col min="71" max="71" width="19.36328125" style="166" customWidth="1"/>
    <col min="72" max="72" width="23.453125" style="167" customWidth="1"/>
    <col min="73" max="73" width="20.1796875" style="2" customWidth="1"/>
    <col min="74" max="1017" width="9.08984375" style="2" customWidth="1"/>
    <col min="1018" max="1024" width="8.453125" customWidth="1"/>
    <col min="1025" max="1026" width="10" bestFit="1" customWidth="1"/>
  </cols>
  <sheetData>
    <row r="1" spans="1:73" x14ac:dyDescent="0.45">
      <c r="B1" s="491" t="s">
        <v>0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</row>
    <row r="2" spans="1:73" x14ac:dyDescent="0.45"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BF2" s="165" t="s">
        <v>435</v>
      </c>
    </row>
    <row r="3" spans="1:73" x14ac:dyDescent="0.45">
      <c r="B3" s="153" t="s">
        <v>1</v>
      </c>
      <c r="C3" s="153" t="s">
        <v>2</v>
      </c>
      <c r="D3" s="153" t="s">
        <v>3</v>
      </c>
      <c r="E3" s="157" t="s">
        <v>4</v>
      </c>
      <c r="F3" s="153" t="s">
        <v>5</v>
      </c>
      <c r="G3" s="153" t="s">
        <v>768</v>
      </c>
      <c r="H3" s="153" t="s">
        <v>435</v>
      </c>
      <c r="I3" s="359" t="s">
        <v>7</v>
      </c>
      <c r="J3" s="157" t="s">
        <v>8</v>
      </c>
      <c r="K3" s="157" t="s">
        <v>9</v>
      </c>
      <c r="L3" s="157" t="s">
        <v>10</v>
      </c>
      <c r="M3" s="157" t="s">
        <v>11</v>
      </c>
      <c r="N3" s="157" t="s">
        <v>12</v>
      </c>
      <c r="O3" s="359" t="s">
        <v>13</v>
      </c>
      <c r="P3" s="359" t="s">
        <v>14</v>
      </c>
      <c r="Q3" s="157" t="s">
        <v>15</v>
      </c>
      <c r="R3" s="157" t="s">
        <v>16</v>
      </c>
      <c r="S3" s="157" t="s">
        <v>17</v>
      </c>
      <c r="T3" s="157" t="s">
        <v>18</v>
      </c>
      <c r="U3" s="157" t="s">
        <v>19</v>
      </c>
      <c r="V3" s="157" t="s">
        <v>20</v>
      </c>
      <c r="W3" s="157" t="s">
        <v>21</v>
      </c>
      <c r="X3" s="157" t="s">
        <v>22</v>
      </c>
      <c r="Y3" s="157" t="s">
        <v>23</v>
      </c>
      <c r="Z3" s="157" t="s">
        <v>24</v>
      </c>
      <c r="AA3" s="153" t="s">
        <v>25</v>
      </c>
      <c r="AB3" s="153" t="s">
        <v>26</v>
      </c>
      <c r="AC3" s="153">
        <v>28</v>
      </c>
      <c r="AD3" s="153" t="s">
        <v>28</v>
      </c>
      <c r="AE3" s="153" t="s">
        <v>29</v>
      </c>
      <c r="AF3" s="153" t="s">
        <v>30</v>
      </c>
      <c r="AG3" s="168" t="s">
        <v>31</v>
      </c>
      <c r="AH3" s="153" t="s">
        <v>32</v>
      </c>
      <c r="AI3" s="153" t="s">
        <v>33</v>
      </c>
      <c r="AJ3" s="153" t="s">
        <v>34</v>
      </c>
      <c r="AK3" s="152" t="s">
        <v>769</v>
      </c>
      <c r="AL3" s="152" t="s">
        <v>770</v>
      </c>
      <c r="AM3" s="152" t="s">
        <v>771</v>
      </c>
      <c r="AN3" s="152" t="s">
        <v>772</v>
      </c>
      <c r="AO3" s="152" t="s">
        <v>773</v>
      </c>
      <c r="AP3" s="152" t="s">
        <v>774</v>
      </c>
      <c r="AQ3" s="152" t="s">
        <v>775</v>
      </c>
      <c r="AR3" s="152" t="s">
        <v>776</v>
      </c>
      <c r="AS3" s="152" t="s">
        <v>777</v>
      </c>
      <c r="AT3" s="152" t="s">
        <v>778</v>
      </c>
      <c r="AW3" s="163" t="s">
        <v>779</v>
      </c>
      <c r="AX3" s="163" t="s">
        <v>780</v>
      </c>
      <c r="AY3" s="163" t="s">
        <v>781</v>
      </c>
      <c r="AZ3" s="163" t="s">
        <v>782</v>
      </c>
      <c r="BA3" s="163" t="s">
        <v>783</v>
      </c>
      <c r="BB3" s="163" t="s">
        <v>784</v>
      </c>
      <c r="BC3" s="163" t="s">
        <v>785</v>
      </c>
      <c r="BD3" s="152" t="s">
        <v>786</v>
      </c>
      <c r="BE3" s="152" t="s">
        <v>787</v>
      </c>
      <c r="BF3" s="152" t="s">
        <v>788</v>
      </c>
      <c r="BG3" s="152" t="s">
        <v>789</v>
      </c>
      <c r="BH3" s="152" t="s">
        <v>790</v>
      </c>
      <c r="BI3" s="152" t="s">
        <v>791</v>
      </c>
      <c r="BJ3" s="152" t="s">
        <v>792</v>
      </c>
      <c r="BK3" s="152" t="s">
        <v>793</v>
      </c>
      <c r="BL3" s="152" t="s">
        <v>794</v>
      </c>
      <c r="BM3" s="152" t="s">
        <v>795</v>
      </c>
      <c r="BN3" s="152" t="s">
        <v>796</v>
      </c>
      <c r="BO3" s="152" t="s">
        <v>797</v>
      </c>
      <c r="BP3" s="152" t="s">
        <v>798</v>
      </c>
      <c r="BQ3" s="152" t="s">
        <v>799</v>
      </c>
      <c r="BR3" s="152" t="s">
        <v>800</v>
      </c>
      <c r="BS3" s="152" t="s">
        <v>801</v>
      </c>
      <c r="BT3" s="167" t="s">
        <v>802</v>
      </c>
    </row>
    <row r="4" spans="1:73" ht="52.5" x14ac:dyDescent="0.45">
      <c r="A4" s="521" t="s">
        <v>803</v>
      </c>
      <c r="B4" s="169" t="s">
        <v>36</v>
      </c>
      <c r="C4" s="169" t="s">
        <v>37</v>
      </c>
      <c r="D4" s="170" t="s">
        <v>38</v>
      </c>
      <c r="E4" s="169" t="s">
        <v>39</v>
      </c>
      <c r="F4" s="169" t="s">
        <v>40</v>
      </c>
      <c r="G4" s="169" t="s">
        <v>804</v>
      </c>
      <c r="H4" s="171" t="s">
        <v>41</v>
      </c>
      <c r="I4" s="360" t="s">
        <v>42</v>
      </c>
      <c r="J4" s="169" t="s">
        <v>43</v>
      </c>
      <c r="K4" s="169" t="s">
        <v>44</v>
      </c>
      <c r="L4" s="169" t="s">
        <v>45</v>
      </c>
      <c r="M4" s="169" t="s">
        <v>46</v>
      </c>
      <c r="N4" s="169" t="s">
        <v>47</v>
      </c>
      <c r="O4" s="360" t="s">
        <v>48</v>
      </c>
      <c r="P4" s="360" t="s">
        <v>49</v>
      </c>
      <c r="Q4" s="169" t="s">
        <v>50</v>
      </c>
      <c r="R4" s="169" t="s">
        <v>51</v>
      </c>
      <c r="S4" s="172" t="s">
        <v>52</v>
      </c>
      <c r="T4" s="172" t="s">
        <v>53</v>
      </c>
      <c r="U4" s="172" t="s">
        <v>54</v>
      </c>
      <c r="V4" s="172" t="s">
        <v>55</v>
      </c>
      <c r="W4" s="169" t="s">
        <v>56</v>
      </c>
      <c r="X4" s="169" t="s">
        <v>57</v>
      </c>
      <c r="Y4" s="169" t="s">
        <v>58</v>
      </c>
      <c r="Z4" s="169" t="s">
        <v>59</v>
      </c>
      <c r="AA4" s="169" t="s">
        <v>60</v>
      </c>
      <c r="AB4" s="169" t="s">
        <v>58</v>
      </c>
      <c r="AC4" s="169" t="s">
        <v>805</v>
      </c>
      <c r="AD4" s="169" t="s">
        <v>62</v>
      </c>
      <c r="AE4" s="169" t="s">
        <v>63</v>
      </c>
      <c r="AF4" s="169" t="s">
        <v>806</v>
      </c>
      <c r="AG4" s="173" t="s">
        <v>65</v>
      </c>
      <c r="AH4" s="169" t="s">
        <v>807</v>
      </c>
      <c r="AI4" s="169" t="s">
        <v>808</v>
      </c>
      <c r="AJ4" s="169" t="s">
        <v>809</v>
      </c>
      <c r="AK4" s="174" t="s">
        <v>810</v>
      </c>
      <c r="AL4" s="174" t="s">
        <v>811</v>
      </c>
      <c r="AM4" s="174" t="s">
        <v>812</v>
      </c>
      <c r="AN4" s="174" t="s">
        <v>813</v>
      </c>
      <c r="AO4" s="175" t="s">
        <v>814</v>
      </c>
      <c r="AP4" s="174" t="s">
        <v>815</v>
      </c>
      <c r="AQ4" s="174" t="s">
        <v>816</v>
      </c>
      <c r="AR4" s="174" t="s">
        <v>817</v>
      </c>
      <c r="AS4" s="174" t="s">
        <v>818</v>
      </c>
      <c r="AT4" s="174" t="s">
        <v>819</v>
      </c>
      <c r="AU4" s="176" t="s">
        <v>878</v>
      </c>
      <c r="AV4" s="176" t="s">
        <v>879</v>
      </c>
      <c r="AW4" s="176" t="s">
        <v>880</v>
      </c>
      <c r="AX4" s="176" t="s">
        <v>820</v>
      </c>
      <c r="AY4" s="176" t="s">
        <v>821</v>
      </c>
      <c r="AZ4" s="176" t="s">
        <v>822</v>
      </c>
      <c r="BA4" s="176" t="s">
        <v>823</v>
      </c>
      <c r="BB4" s="176" t="s">
        <v>948</v>
      </c>
      <c r="BC4" s="176" t="s">
        <v>881</v>
      </c>
      <c r="BD4" s="174" t="s">
        <v>824</v>
      </c>
      <c r="BE4" s="177" t="s">
        <v>825</v>
      </c>
      <c r="BF4" s="178" t="s">
        <v>826</v>
      </c>
      <c r="BG4" s="178" t="s">
        <v>827</v>
      </c>
      <c r="BH4" s="178" t="s">
        <v>828</v>
      </c>
      <c r="BI4" s="178" t="s">
        <v>829</v>
      </c>
      <c r="BJ4" s="178" t="s">
        <v>997</v>
      </c>
      <c r="BK4" s="178" t="s">
        <v>830</v>
      </c>
      <c r="BL4" s="178" t="s">
        <v>882</v>
      </c>
      <c r="BM4" s="178" t="s">
        <v>887</v>
      </c>
      <c r="BN4" s="178" t="s">
        <v>888</v>
      </c>
      <c r="BO4" s="178" t="s">
        <v>66</v>
      </c>
      <c r="BP4" s="174" t="s">
        <v>831</v>
      </c>
      <c r="BQ4" s="174" t="s">
        <v>832</v>
      </c>
      <c r="BR4" s="174" t="s">
        <v>833</v>
      </c>
      <c r="BS4" s="179" t="s">
        <v>671</v>
      </c>
      <c r="BT4" s="180" t="s">
        <v>834</v>
      </c>
    </row>
    <row r="5" spans="1:73" x14ac:dyDescent="0.45">
      <c r="A5" s="521"/>
      <c r="B5" s="169"/>
      <c r="C5" s="169"/>
      <c r="D5" s="170"/>
      <c r="E5" s="169"/>
      <c r="F5" s="169"/>
      <c r="G5" s="181"/>
      <c r="H5" s="171"/>
      <c r="I5" s="360"/>
      <c r="J5" s="169"/>
      <c r="K5" s="169"/>
      <c r="L5" s="169"/>
      <c r="M5" s="169"/>
      <c r="N5" s="169"/>
      <c r="O5" s="360"/>
      <c r="P5" s="360"/>
      <c r="Q5" s="169"/>
      <c r="R5" s="169"/>
      <c r="S5" s="172">
        <v>7500</v>
      </c>
      <c r="T5" s="172">
        <v>25000</v>
      </c>
      <c r="U5" s="172">
        <v>40000</v>
      </c>
      <c r="V5" s="172">
        <v>60000</v>
      </c>
      <c r="W5" s="169">
        <v>25000</v>
      </c>
      <c r="X5" s="169">
        <v>75000</v>
      </c>
      <c r="Y5" s="169">
        <v>25000</v>
      </c>
      <c r="Z5" s="169">
        <v>30000</v>
      </c>
      <c r="AA5" s="169">
        <v>50000</v>
      </c>
      <c r="AB5" s="169"/>
      <c r="AC5" s="169"/>
      <c r="AD5" s="169">
        <v>250000</v>
      </c>
      <c r="AE5" s="169">
        <v>175000</v>
      </c>
      <c r="AF5" s="169">
        <v>20000</v>
      </c>
      <c r="AG5" s="173">
        <v>30000</v>
      </c>
      <c r="AH5" s="169">
        <v>100000</v>
      </c>
      <c r="AI5" s="169">
        <v>50000</v>
      </c>
      <c r="AJ5" s="169">
        <v>30000</v>
      </c>
      <c r="AK5" s="174"/>
      <c r="AL5" s="174"/>
      <c r="AM5" s="174"/>
      <c r="AN5" s="174"/>
      <c r="AO5" s="175"/>
      <c r="AP5" s="174"/>
      <c r="AQ5" s="174"/>
      <c r="AR5" s="174"/>
      <c r="AS5" s="174"/>
      <c r="AT5" s="174">
        <v>1000000</v>
      </c>
      <c r="AU5" s="176">
        <v>685000</v>
      </c>
      <c r="AV5" s="176">
        <v>950000</v>
      </c>
      <c r="AW5" s="176">
        <v>1500000</v>
      </c>
      <c r="AX5" s="176"/>
      <c r="AY5" s="176"/>
      <c r="AZ5" s="176"/>
      <c r="BA5" s="176"/>
      <c r="BB5" s="176"/>
      <c r="BC5" s="176">
        <v>84800</v>
      </c>
      <c r="BD5" s="174"/>
      <c r="BE5" s="177"/>
      <c r="BF5" s="178"/>
      <c r="BG5" s="178"/>
      <c r="BH5" s="178"/>
      <c r="BI5" s="178"/>
      <c r="BJ5" s="178"/>
      <c r="BK5" s="178">
        <v>40000</v>
      </c>
      <c r="BL5" s="178"/>
      <c r="BM5" s="178"/>
      <c r="BN5" s="178"/>
      <c r="BO5" s="178"/>
      <c r="BP5" s="174"/>
      <c r="BQ5" s="174"/>
      <c r="BR5" s="174"/>
      <c r="BS5" s="174"/>
      <c r="BT5" s="180"/>
    </row>
    <row r="6" spans="1:73" x14ac:dyDescent="0.45">
      <c r="A6" s="280"/>
      <c r="B6" s="281"/>
      <c r="C6" s="281"/>
      <c r="D6" s="282"/>
      <c r="E6" s="281"/>
      <c r="F6" s="281"/>
      <c r="G6" s="283"/>
      <c r="H6" s="284"/>
      <c r="I6" s="361"/>
      <c r="J6" s="281"/>
      <c r="K6" s="281"/>
      <c r="L6" s="281"/>
      <c r="M6" s="281"/>
      <c r="N6" s="281"/>
      <c r="O6" s="361"/>
      <c r="P6" s="361"/>
      <c r="Q6" s="281"/>
      <c r="R6" s="281"/>
      <c r="S6" s="285"/>
      <c r="T6" s="285"/>
      <c r="U6" s="285"/>
      <c r="V6" s="285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6"/>
      <c r="AH6" s="281"/>
      <c r="AI6" s="281"/>
      <c r="AJ6" s="281"/>
      <c r="AK6" s="280"/>
      <c r="AL6" s="280"/>
      <c r="AM6" s="280"/>
      <c r="AN6" s="280"/>
      <c r="AO6" s="287"/>
      <c r="AP6" s="280"/>
      <c r="AQ6" s="280"/>
      <c r="AR6" s="280"/>
      <c r="AS6" s="280"/>
      <c r="AT6" s="280"/>
      <c r="AU6" s="288"/>
      <c r="AV6" s="288"/>
      <c r="AW6" s="288"/>
      <c r="AX6" s="288"/>
      <c r="AY6" s="288"/>
      <c r="AZ6" s="288"/>
      <c r="BA6" s="288"/>
      <c r="BB6" s="288"/>
      <c r="BC6" s="288"/>
      <c r="BD6" s="280"/>
      <c r="BE6" s="289"/>
      <c r="BF6" s="290"/>
      <c r="BG6" s="290"/>
      <c r="BH6" s="290"/>
      <c r="BI6" s="290"/>
      <c r="BJ6" s="290"/>
      <c r="BK6" s="290"/>
      <c r="BL6" s="290"/>
      <c r="BM6" s="290"/>
      <c r="BN6" s="290"/>
      <c r="BO6" s="290"/>
      <c r="BP6" s="280"/>
      <c r="BQ6" s="280"/>
      <c r="BR6" s="280"/>
      <c r="BS6" s="280"/>
      <c r="BT6" s="291"/>
    </row>
    <row r="7" spans="1:73" x14ac:dyDescent="0.45">
      <c r="A7" s="182">
        <v>1</v>
      </c>
      <c r="B7" s="252" t="s">
        <v>67</v>
      </c>
      <c r="C7" s="240" t="s">
        <v>1001</v>
      </c>
      <c r="D7" s="253" t="s">
        <v>902</v>
      </c>
      <c r="E7" s="242" t="s">
        <v>885</v>
      </c>
      <c r="F7" s="185" t="s">
        <v>869</v>
      </c>
      <c r="G7" s="278" t="s">
        <v>727</v>
      </c>
      <c r="H7" s="186" t="s">
        <v>870</v>
      </c>
      <c r="I7" s="340">
        <v>15</v>
      </c>
      <c r="J7" s="145" t="s">
        <v>72</v>
      </c>
      <c r="K7" s="37" t="s">
        <v>73</v>
      </c>
      <c r="L7" s="37" t="s">
        <v>74</v>
      </c>
      <c r="M7" s="145" t="s">
        <v>317</v>
      </c>
      <c r="N7" s="188" t="s">
        <v>76</v>
      </c>
      <c r="O7" s="340" t="s">
        <v>871</v>
      </c>
      <c r="P7" s="340" t="s">
        <v>77</v>
      </c>
      <c r="Q7" s="432">
        <v>19</v>
      </c>
      <c r="R7" s="432">
        <v>19</v>
      </c>
      <c r="S7" s="306"/>
      <c r="T7" s="473"/>
      <c r="U7" s="473"/>
      <c r="V7" s="474"/>
      <c r="W7" s="307"/>
      <c r="X7" s="307"/>
      <c r="Y7" s="307"/>
      <c r="Z7" s="307"/>
      <c r="AA7" s="313">
        <v>1</v>
      </c>
      <c r="AB7" s="315"/>
      <c r="AC7" s="315"/>
      <c r="AD7" s="189"/>
      <c r="AE7" s="189"/>
      <c r="AF7" s="189"/>
      <c r="AG7" s="190"/>
      <c r="AH7" s="189"/>
      <c r="AI7" s="189"/>
      <c r="AJ7" s="189"/>
      <c r="AK7" s="191">
        <f>VLOOKUP(N7,Gapok!$B$5:$I$94,6,0)</f>
        <v>900000</v>
      </c>
      <c r="AL7" s="191">
        <f>VLOOKUP(P7,'TJ. FUNGSIONAL'!$B$4:$F$34,5,0)</f>
        <v>400000</v>
      </c>
      <c r="AM7" s="191">
        <f>IF(R7+S7&gt;=Q7,VLOOKUP(N7,[1]Gapok!$B$5:$I$94,8,0),VLOOKUP('[1]PER UNIT'!N7,[1]Gapok!$B$5:$I$94,7,0)*('[1]PER UNIT'!R7+'[1]PER UNIT'!S7))</f>
        <v>375000</v>
      </c>
      <c r="AN7" s="191">
        <f>VLOOKUP(P7,'TJ. FUNGSIONAL'!$B$4:$E$34,4,0)</f>
        <v>300000</v>
      </c>
      <c r="AO7" s="192">
        <f t="shared" ref="AO7:AO16" si="0">50000*I7</f>
        <v>750000</v>
      </c>
      <c r="AP7" s="193">
        <v>35000</v>
      </c>
      <c r="AQ7" s="194">
        <f t="shared" ref="AQ7:AQ8" si="1">(W7*25000)+X7*75000+Y7*25000+AH7*100000+AI7*50000+AJ7*30000</f>
        <v>0</v>
      </c>
      <c r="AR7" s="195">
        <f t="shared" ref="AR7:AR17" si="2">Z7*30000+AA7*50000</f>
        <v>50000</v>
      </c>
      <c r="AS7" s="195">
        <f t="shared" ref="AS7:AS16" si="3">25000*AF7</f>
        <v>0</v>
      </c>
      <c r="AT7" s="196"/>
      <c r="AU7" s="96"/>
      <c r="AV7" s="96"/>
      <c r="AW7" s="96"/>
      <c r="AX7" s="96"/>
      <c r="AY7" s="96"/>
      <c r="AZ7" s="96"/>
      <c r="BA7" s="96"/>
      <c r="BB7" s="96">
        <v>985000</v>
      </c>
      <c r="BC7" s="96">
        <v>84800</v>
      </c>
      <c r="BD7" s="197">
        <f t="shared" ref="BD7:BD17" si="4">SUM(AK7:BC7)</f>
        <v>3879800</v>
      </c>
      <c r="BE7" s="198">
        <f t="shared" ref="BE7:BE14" si="5">T7*25000+U7*40000+V7*60000</f>
        <v>0</v>
      </c>
      <c r="BF7" s="195">
        <f t="shared" ref="BF7:BF13" si="6">7500*S7</f>
        <v>0</v>
      </c>
      <c r="BG7" s="195">
        <f t="shared" ref="BG7:BG16" si="7">250000*AD7+175000*AE7</f>
        <v>0</v>
      </c>
      <c r="BH7" s="195">
        <v>0</v>
      </c>
      <c r="BI7" s="195">
        <v>0</v>
      </c>
      <c r="BJ7" s="195"/>
      <c r="BK7" s="107">
        <v>40000</v>
      </c>
      <c r="BL7" s="107">
        <f t="shared" ref="BL7:BL12" si="8">SUM(AU7:AW7)</f>
        <v>0</v>
      </c>
      <c r="BM7" s="96">
        <v>985000</v>
      </c>
      <c r="BN7" s="96">
        <v>84800</v>
      </c>
      <c r="BO7" s="311"/>
      <c r="BP7" s="309">
        <f t="shared" ref="BP7:BP17" si="9">SUM(BE7:BO7)</f>
        <v>1109800</v>
      </c>
      <c r="BQ7" s="107"/>
      <c r="BR7" s="196"/>
      <c r="BS7" s="200">
        <f t="shared" ref="BS7:BS16" si="10">BD7-BP7+BQ7</f>
        <v>2770000</v>
      </c>
      <c r="BT7" s="201">
        <v>7023047998</v>
      </c>
    </row>
    <row r="8" spans="1:73" x14ac:dyDescent="0.45">
      <c r="A8" s="182">
        <v>2</v>
      </c>
      <c r="B8" s="252" t="s">
        <v>78</v>
      </c>
      <c r="C8" s="240" t="s">
        <v>1002</v>
      </c>
      <c r="D8" s="253" t="s">
        <v>903</v>
      </c>
      <c r="E8" s="242" t="s">
        <v>885</v>
      </c>
      <c r="F8" s="185" t="s">
        <v>91</v>
      </c>
      <c r="G8" s="278" t="s">
        <v>727</v>
      </c>
      <c r="H8" s="186" t="s">
        <v>870</v>
      </c>
      <c r="I8" s="340">
        <v>15</v>
      </c>
      <c r="J8" s="145" t="s">
        <v>72</v>
      </c>
      <c r="K8" s="145" t="s">
        <v>83</v>
      </c>
      <c r="L8" s="145" t="s">
        <v>84</v>
      </c>
      <c r="M8" s="145" t="s">
        <v>92</v>
      </c>
      <c r="N8" s="188" t="s">
        <v>93</v>
      </c>
      <c r="O8" s="340" t="str">
        <f>VLOOKUP(P8,'TJ. FUNGSIONAL'!$B$4:$C$34,2,0)</f>
        <v>Kepala RA</v>
      </c>
      <c r="P8" s="340" t="s">
        <v>94</v>
      </c>
      <c r="Q8" s="432">
        <v>19</v>
      </c>
      <c r="R8" s="432">
        <v>19</v>
      </c>
      <c r="S8" s="432"/>
      <c r="T8" s="473"/>
      <c r="U8" s="473"/>
      <c r="V8" s="474"/>
      <c r="W8" s="307"/>
      <c r="X8" s="307"/>
      <c r="Y8" s="307"/>
      <c r="Z8" s="307"/>
      <c r="AA8" s="307">
        <v>1</v>
      </c>
      <c r="AB8" s="315"/>
      <c r="AC8" s="315"/>
      <c r="AD8" s="189"/>
      <c r="AE8" s="189"/>
      <c r="AF8" s="189"/>
      <c r="AG8" s="190"/>
      <c r="AH8" s="189"/>
      <c r="AI8" s="189"/>
      <c r="AJ8" s="189"/>
      <c r="AK8" s="191">
        <f>VLOOKUP(N8,Gapok!$B$5:$I$94,6,0)</f>
        <v>1650000</v>
      </c>
      <c r="AL8" s="191">
        <f>VLOOKUP(P8,'TJ. FUNGSIONAL'!$B$4:$F$34,5,0)</f>
        <v>1500000</v>
      </c>
      <c r="AM8" s="191">
        <f>IF(R8+S8&gt;=Q8,VLOOKUP(N8,[1]Gapok!$B$5:$I$94,8,0),VLOOKUP('[1]PER UNIT'!N8,[1]Gapok!$B$5:$I$94,7,0)*('[1]PER UNIT'!R8+'[1]PER UNIT'!S8))</f>
        <v>450000</v>
      </c>
      <c r="AN8" s="191">
        <f>VLOOKUP(P8,'TJ. FUNGSIONAL'!$B$4:$E$34,4,0)</f>
        <v>500000</v>
      </c>
      <c r="AO8" s="192">
        <f t="shared" si="0"/>
        <v>750000</v>
      </c>
      <c r="AP8" s="193">
        <v>140000</v>
      </c>
      <c r="AQ8" s="194">
        <f t="shared" si="1"/>
        <v>0</v>
      </c>
      <c r="AR8" s="195">
        <f t="shared" si="2"/>
        <v>50000</v>
      </c>
      <c r="AS8" s="195">
        <f t="shared" si="3"/>
        <v>0</v>
      </c>
      <c r="AT8" s="196"/>
      <c r="AU8" s="96"/>
      <c r="AV8" s="96">
        <f>3*950000</f>
        <v>2850000</v>
      </c>
      <c r="AW8" s="96"/>
      <c r="AX8" s="96"/>
      <c r="AY8" s="96"/>
      <c r="AZ8" s="96"/>
      <c r="BA8" s="96"/>
      <c r="BB8" s="96">
        <v>985000</v>
      </c>
      <c r="BC8" s="96">
        <v>84800</v>
      </c>
      <c r="BD8" s="197">
        <f t="shared" si="4"/>
        <v>8959800</v>
      </c>
      <c r="BE8" s="198">
        <f t="shared" si="5"/>
        <v>0</v>
      </c>
      <c r="BF8" s="195">
        <f t="shared" si="6"/>
        <v>0</v>
      </c>
      <c r="BG8" s="195">
        <f t="shared" si="7"/>
        <v>0</v>
      </c>
      <c r="BH8" s="195">
        <f>35000*6</f>
        <v>210000</v>
      </c>
      <c r="BI8" s="195">
        <v>0</v>
      </c>
      <c r="BJ8" s="195"/>
      <c r="BK8" s="107">
        <v>40000</v>
      </c>
      <c r="BL8" s="107">
        <f t="shared" si="8"/>
        <v>2850000</v>
      </c>
      <c r="BM8" s="96">
        <v>985000</v>
      </c>
      <c r="BN8" s="96">
        <v>84800</v>
      </c>
      <c r="BO8" s="311"/>
      <c r="BP8" s="309">
        <f t="shared" si="9"/>
        <v>4169800</v>
      </c>
      <c r="BQ8" s="107"/>
      <c r="BR8" s="196"/>
      <c r="BS8" s="200">
        <f t="shared" si="10"/>
        <v>4790000</v>
      </c>
      <c r="BT8" s="201">
        <v>7106887416</v>
      </c>
    </row>
    <row r="9" spans="1:73" x14ac:dyDescent="0.45">
      <c r="A9" s="182">
        <v>3</v>
      </c>
      <c r="B9" s="252" t="s">
        <v>88</v>
      </c>
      <c r="C9" s="240" t="s">
        <v>1003</v>
      </c>
      <c r="D9" s="253" t="s">
        <v>904</v>
      </c>
      <c r="E9" s="242" t="s">
        <v>885</v>
      </c>
      <c r="F9" s="185" t="s">
        <v>98</v>
      </c>
      <c r="G9" s="278" t="s">
        <v>727</v>
      </c>
      <c r="H9" s="186" t="s">
        <v>870</v>
      </c>
      <c r="I9" s="340">
        <v>15</v>
      </c>
      <c r="J9" s="145" t="s">
        <v>72</v>
      </c>
      <c r="K9" s="145" t="s">
        <v>99</v>
      </c>
      <c r="L9" s="145" t="s">
        <v>74</v>
      </c>
      <c r="M9" s="145" t="s">
        <v>75</v>
      </c>
      <c r="N9" s="188" t="s">
        <v>76</v>
      </c>
      <c r="O9" s="340" t="str">
        <f>VLOOKUP(P9,'TJ. FUNGSIONAL'!$B$4:$C$34,2,0)</f>
        <v>Petugas Kebersihan</v>
      </c>
      <c r="P9" s="340" t="s">
        <v>100</v>
      </c>
      <c r="Q9" s="432">
        <v>19</v>
      </c>
      <c r="R9" s="432">
        <v>13</v>
      </c>
      <c r="S9" s="305"/>
      <c r="T9" s="473"/>
      <c r="U9" s="432">
        <v>6</v>
      </c>
      <c r="V9" s="474"/>
      <c r="W9" s="307"/>
      <c r="X9" s="307"/>
      <c r="Y9" s="307"/>
      <c r="Z9" s="307"/>
      <c r="AA9" s="307">
        <v>1</v>
      </c>
      <c r="AB9" s="315"/>
      <c r="AC9" s="315"/>
      <c r="AD9" s="189"/>
      <c r="AE9" s="189"/>
      <c r="AF9" s="189"/>
      <c r="AG9" s="190"/>
      <c r="AH9" s="189"/>
      <c r="AI9" s="189"/>
      <c r="AJ9" s="189"/>
      <c r="AK9" s="191">
        <f>VLOOKUP(N9,Gapok!$B$5:$I$94,6,0)</f>
        <v>900000</v>
      </c>
      <c r="AL9" s="191">
        <f>VLOOKUP(P9,'TJ. FUNGSIONAL'!$B$4:$F$34,5,0)</f>
        <v>400000</v>
      </c>
      <c r="AM9" s="191">
        <f>IF(R9+S9&gt;=Q9,VLOOKUP(N9,[1]Gapok!$B$5:$I$94,8,0),VLOOKUP('[1]PER UNIT'!N9,[1]Gapok!$B$5:$I$94,7,0)*('[1]PER UNIT'!R9+'[1]PER UNIT'!S9))</f>
        <v>270000</v>
      </c>
      <c r="AN9" s="191">
        <f>VLOOKUP(P9,'TJ. FUNGSIONAL'!$B$4:$E$34,4,0)</f>
        <v>300000</v>
      </c>
      <c r="AO9" s="192">
        <f t="shared" si="0"/>
        <v>750000</v>
      </c>
      <c r="AP9" s="193">
        <v>35000</v>
      </c>
      <c r="AQ9" s="194">
        <f>(W9*25000)+X9*75000+Y9*25000+AH9*100000+AI9*50000+AJ9*30000</f>
        <v>0</v>
      </c>
      <c r="AR9" s="195">
        <f t="shared" si="2"/>
        <v>50000</v>
      </c>
      <c r="AS9" s="195">
        <f t="shared" si="3"/>
        <v>0</v>
      </c>
      <c r="AT9" s="196"/>
      <c r="AU9" s="96"/>
      <c r="AV9" s="96"/>
      <c r="AW9" s="96"/>
      <c r="AX9" s="96"/>
      <c r="AY9" s="96"/>
      <c r="AZ9" s="96"/>
      <c r="BA9" s="96"/>
      <c r="BB9" s="96">
        <v>985000</v>
      </c>
      <c r="BC9" s="96"/>
      <c r="BD9" s="197">
        <f t="shared" si="4"/>
        <v>3690000</v>
      </c>
      <c r="BE9" s="198">
        <f t="shared" si="5"/>
        <v>240000</v>
      </c>
      <c r="BF9" s="195">
        <f t="shared" si="6"/>
        <v>0</v>
      </c>
      <c r="BG9" s="195">
        <f t="shared" si="7"/>
        <v>0</v>
      </c>
      <c r="BH9" s="195">
        <v>0</v>
      </c>
      <c r="BI9" s="195">
        <v>0</v>
      </c>
      <c r="BJ9" s="195"/>
      <c r="BK9" s="107"/>
      <c r="BL9" s="107">
        <f t="shared" si="8"/>
        <v>0</v>
      </c>
      <c r="BM9" s="96">
        <v>985000</v>
      </c>
      <c r="BN9" s="96"/>
      <c r="BO9" s="311"/>
      <c r="BP9" s="309">
        <f t="shared" si="9"/>
        <v>1225000</v>
      </c>
      <c r="BQ9" s="107"/>
      <c r="BR9" s="196"/>
      <c r="BS9" s="200">
        <f t="shared" si="10"/>
        <v>2465000</v>
      </c>
      <c r="BT9" s="201">
        <v>7106887467</v>
      </c>
    </row>
    <row r="10" spans="1:73" x14ac:dyDescent="0.45">
      <c r="A10" s="182">
        <v>4</v>
      </c>
      <c r="B10" s="252" t="s">
        <v>95</v>
      </c>
      <c r="C10" s="240" t="s">
        <v>1004</v>
      </c>
      <c r="D10" s="253" t="s">
        <v>905</v>
      </c>
      <c r="E10" s="242" t="s">
        <v>885</v>
      </c>
      <c r="F10" s="185" t="s">
        <v>104</v>
      </c>
      <c r="G10" s="278" t="s">
        <v>727</v>
      </c>
      <c r="H10" s="186" t="s">
        <v>872</v>
      </c>
      <c r="I10" s="340">
        <v>13</v>
      </c>
      <c r="J10" s="145" t="s">
        <v>72</v>
      </c>
      <c r="K10" s="145" t="s">
        <v>105</v>
      </c>
      <c r="L10" s="145" t="s">
        <v>84</v>
      </c>
      <c r="M10" s="145" t="s">
        <v>92</v>
      </c>
      <c r="N10" s="188" t="s">
        <v>106</v>
      </c>
      <c r="O10" s="340" t="str">
        <f>VLOOKUP(P10,'TJ. FUNGSIONAL'!$B$4:$C$34,2,0)</f>
        <v>Wakil Kepala RA</v>
      </c>
      <c r="P10" s="340" t="s">
        <v>107</v>
      </c>
      <c r="Q10" s="432">
        <v>19</v>
      </c>
      <c r="R10" s="432">
        <v>19</v>
      </c>
      <c r="S10" s="432"/>
      <c r="T10" s="473"/>
      <c r="U10" s="473"/>
      <c r="V10" s="474"/>
      <c r="W10" s="307"/>
      <c r="X10" s="307"/>
      <c r="Y10" s="307"/>
      <c r="Z10" s="307"/>
      <c r="AA10" s="307">
        <v>1</v>
      </c>
      <c r="AB10" s="315"/>
      <c r="AC10" s="315"/>
      <c r="AD10" s="189"/>
      <c r="AE10" s="189">
        <v>1</v>
      </c>
      <c r="AF10" s="189"/>
      <c r="AG10" s="190"/>
      <c r="AH10" s="189"/>
      <c r="AI10" s="189"/>
      <c r="AJ10" s="189"/>
      <c r="AK10" s="191">
        <f>VLOOKUP(N10,Gapok!$B$5:$I$94,6,0)</f>
        <v>1450000</v>
      </c>
      <c r="AL10" s="191">
        <f>VLOOKUP(P10,'TJ. FUNGSIONAL'!$B$4:$F$34,5,0)</f>
        <v>1200000</v>
      </c>
      <c r="AM10" s="191">
        <f>IF(R10+S10&gt;=Q10,VLOOKUP(N10,[1]Gapok!$B$5:$I$94,8,0),VLOOKUP('[1]PER UNIT'!N10,[1]Gapok!$B$5:$I$94,7,0)*('[1]PER UNIT'!R10+'[1]PER UNIT'!S10))</f>
        <v>425000</v>
      </c>
      <c r="AN10" s="191">
        <f>VLOOKUP(P10,'TJ. FUNGSIONAL'!$B$4:$E$34,4,0)</f>
        <v>400000</v>
      </c>
      <c r="AO10" s="192">
        <f t="shared" si="0"/>
        <v>650000</v>
      </c>
      <c r="AP10" s="193">
        <v>35000</v>
      </c>
      <c r="AQ10" s="194">
        <f t="shared" ref="AQ10:AQ17" si="11">(W10*25000)+X10*75000+Y10*25000+AH10*100000+AI10*50000+AJ10*30000</f>
        <v>0</v>
      </c>
      <c r="AR10" s="195">
        <f t="shared" si="2"/>
        <v>50000</v>
      </c>
      <c r="AS10" s="195">
        <f t="shared" si="3"/>
        <v>0</v>
      </c>
      <c r="AT10" s="196"/>
      <c r="AU10" s="96"/>
      <c r="AV10" s="96"/>
      <c r="AW10" s="96">
        <v>1500000</v>
      </c>
      <c r="AX10" s="96"/>
      <c r="AY10" s="96"/>
      <c r="AZ10" s="96"/>
      <c r="BA10" s="96"/>
      <c r="BB10" s="96">
        <v>985000</v>
      </c>
      <c r="BC10" s="96">
        <v>84800</v>
      </c>
      <c r="BD10" s="197">
        <f t="shared" si="4"/>
        <v>6779800</v>
      </c>
      <c r="BE10" s="198">
        <f t="shared" si="5"/>
        <v>0</v>
      </c>
      <c r="BF10" s="195">
        <f t="shared" si="6"/>
        <v>0</v>
      </c>
      <c r="BG10" s="195">
        <f t="shared" si="7"/>
        <v>175000</v>
      </c>
      <c r="BH10" s="195">
        <v>35000</v>
      </c>
      <c r="BI10" s="238">
        <v>125000</v>
      </c>
      <c r="BJ10" s="195"/>
      <c r="BK10" s="107">
        <v>40000</v>
      </c>
      <c r="BL10" s="107">
        <f t="shared" si="8"/>
        <v>1500000</v>
      </c>
      <c r="BM10" s="96">
        <v>985000</v>
      </c>
      <c r="BN10" s="96">
        <v>84800</v>
      </c>
      <c r="BO10" s="311"/>
      <c r="BP10" s="309">
        <f>SUM(BE10:BO10)</f>
        <v>2944800</v>
      </c>
      <c r="BQ10" s="107"/>
      <c r="BR10" s="196"/>
      <c r="BS10" s="200">
        <f t="shared" si="10"/>
        <v>3835000</v>
      </c>
      <c r="BT10" s="201">
        <v>7106921487</v>
      </c>
    </row>
    <row r="11" spans="1:73" x14ac:dyDescent="0.45">
      <c r="A11" s="182">
        <v>5</v>
      </c>
      <c r="B11" s="252" t="s">
        <v>101</v>
      </c>
      <c r="C11" s="240" t="s">
        <v>1005</v>
      </c>
      <c r="D11" s="253" t="s">
        <v>907</v>
      </c>
      <c r="E11" s="242" t="s">
        <v>885</v>
      </c>
      <c r="F11" s="185" t="s">
        <v>202</v>
      </c>
      <c r="G11" s="278" t="s">
        <v>727</v>
      </c>
      <c r="H11" s="186" t="s">
        <v>874</v>
      </c>
      <c r="I11" s="340">
        <v>6</v>
      </c>
      <c r="J11" s="145" t="s">
        <v>72</v>
      </c>
      <c r="K11" s="145" t="s">
        <v>73</v>
      </c>
      <c r="L11" s="145" t="s">
        <v>84</v>
      </c>
      <c r="M11" s="145" t="s">
        <v>359</v>
      </c>
      <c r="N11" s="188" t="s">
        <v>143</v>
      </c>
      <c r="O11" s="340" t="str">
        <f>VLOOKUP(P11,'TJ. FUNGSIONAL'!$B$4:$C$34,2,0)</f>
        <v>Wali Kelas RA</v>
      </c>
      <c r="P11" s="340" t="s">
        <v>205</v>
      </c>
      <c r="Q11" s="432">
        <v>19</v>
      </c>
      <c r="R11" s="432">
        <v>11</v>
      </c>
      <c r="S11" s="432">
        <v>8</v>
      </c>
      <c r="T11" s="473"/>
      <c r="U11" s="473"/>
      <c r="V11" s="475"/>
      <c r="W11" s="307">
        <v>6</v>
      </c>
      <c r="X11" s="307"/>
      <c r="Y11" s="307"/>
      <c r="Z11" s="307"/>
      <c r="AA11" s="307">
        <v>1</v>
      </c>
      <c r="AB11" s="315"/>
      <c r="AC11" s="315"/>
      <c r="AD11" s="262"/>
      <c r="AE11" s="189"/>
      <c r="AF11" s="189"/>
      <c r="AG11" s="190"/>
      <c r="AH11" s="189"/>
      <c r="AI11" s="189"/>
      <c r="AJ11" s="189"/>
      <c r="AK11" s="191">
        <f>VLOOKUP(N11,Gapok!$B$5:$I$94,2,0)</f>
        <v>1020000</v>
      </c>
      <c r="AL11" s="191">
        <f>VLOOKUP(P11,'TJ. FUNGSIONAL'!$B$4:$F$34,5,0)</f>
        <v>700000</v>
      </c>
      <c r="AM11" s="191">
        <f>IF(R11+S11&gt;=Q11,VLOOKUP(N11,[1]Gapok!$B$5:$I$94,8,0),VLOOKUP('[1]PER UNIT'!N11,[1]Gapok!$B$5:$I$94,7,0)*('[1]PER UNIT'!R11+'[1]PER UNIT'!S11))</f>
        <v>425000</v>
      </c>
      <c r="AN11" s="191">
        <f>VLOOKUP(P11,'TJ. FUNGSIONAL'!$B$4:$E$34,4,0)</f>
        <v>300000</v>
      </c>
      <c r="AO11" s="192">
        <f t="shared" si="0"/>
        <v>300000</v>
      </c>
      <c r="AP11" s="193">
        <v>35000</v>
      </c>
      <c r="AQ11" s="194">
        <f t="shared" si="11"/>
        <v>150000</v>
      </c>
      <c r="AR11" s="195">
        <f t="shared" si="2"/>
        <v>50000</v>
      </c>
      <c r="AS11" s="195">
        <f t="shared" si="3"/>
        <v>0</v>
      </c>
      <c r="AT11" s="196"/>
      <c r="AU11" s="96"/>
      <c r="AV11" s="96"/>
      <c r="AW11" s="96"/>
      <c r="AX11" s="96"/>
      <c r="AY11" s="96"/>
      <c r="AZ11" s="96"/>
      <c r="BA11" s="96"/>
      <c r="BB11" s="96">
        <v>985000</v>
      </c>
      <c r="BC11" s="96">
        <v>84800</v>
      </c>
      <c r="BD11" s="197">
        <f t="shared" si="4"/>
        <v>4049800</v>
      </c>
      <c r="BE11" s="198">
        <f t="shared" si="5"/>
        <v>0</v>
      </c>
      <c r="BF11" s="195">
        <f t="shared" si="6"/>
        <v>60000</v>
      </c>
      <c r="BG11" s="195">
        <f t="shared" si="7"/>
        <v>0</v>
      </c>
      <c r="BH11" s="195">
        <v>35000</v>
      </c>
      <c r="BI11" s="195">
        <v>0</v>
      </c>
      <c r="BJ11" s="195"/>
      <c r="BK11" s="107">
        <v>40000</v>
      </c>
      <c r="BL11" s="107">
        <f t="shared" si="8"/>
        <v>0</v>
      </c>
      <c r="BM11" s="96">
        <v>985000</v>
      </c>
      <c r="BN11" s="96">
        <v>84800</v>
      </c>
      <c r="BO11" s="311"/>
      <c r="BP11" s="309">
        <f t="shared" si="9"/>
        <v>1204800</v>
      </c>
      <c r="BQ11" s="107"/>
      <c r="BR11" s="196"/>
      <c r="BS11" s="200">
        <f t="shared" si="10"/>
        <v>2845000</v>
      </c>
      <c r="BT11" s="224">
        <v>7123023287</v>
      </c>
    </row>
    <row r="12" spans="1:73" x14ac:dyDescent="0.45">
      <c r="A12" s="182">
        <v>6</v>
      </c>
      <c r="B12" s="252" t="s">
        <v>108</v>
      </c>
      <c r="C12" s="240" t="s">
        <v>1006</v>
      </c>
      <c r="D12" s="241" t="s">
        <v>884</v>
      </c>
      <c r="E12" s="242" t="s">
        <v>885</v>
      </c>
      <c r="F12" s="185" t="s">
        <v>965</v>
      </c>
      <c r="G12" s="278" t="s">
        <v>727</v>
      </c>
      <c r="H12" s="231" t="s">
        <v>883</v>
      </c>
      <c r="I12" s="340">
        <v>0</v>
      </c>
      <c r="J12" s="145" t="s">
        <v>163</v>
      </c>
      <c r="K12" s="37" t="s">
        <v>83</v>
      </c>
      <c r="L12" s="145" t="s">
        <v>74</v>
      </c>
      <c r="M12" s="145" t="s">
        <v>75</v>
      </c>
      <c r="N12" s="188" t="s">
        <v>210</v>
      </c>
      <c r="O12" s="340" t="s">
        <v>886</v>
      </c>
      <c r="P12" s="340" t="s">
        <v>138</v>
      </c>
      <c r="Q12" s="432">
        <v>19</v>
      </c>
      <c r="R12" s="432">
        <v>19</v>
      </c>
      <c r="S12" s="432"/>
      <c r="T12" s="473"/>
      <c r="U12" s="473"/>
      <c r="V12" s="335"/>
      <c r="W12" s="441"/>
      <c r="X12" s="308"/>
      <c r="Y12" s="308"/>
      <c r="Z12" s="307"/>
      <c r="AA12" s="307">
        <v>1</v>
      </c>
      <c r="AB12" s="316"/>
      <c r="AC12" s="315"/>
      <c r="AD12" s="185"/>
      <c r="AE12" s="185"/>
      <c r="AF12" s="185"/>
      <c r="AG12" s="243"/>
      <c r="AH12" s="185"/>
      <c r="AI12" s="185"/>
      <c r="AJ12" s="185"/>
      <c r="AK12" s="191">
        <f>VLOOKUP(N12,Gapok!$B$5:$I$94,2,0)</f>
        <v>800000</v>
      </c>
      <c r="AL12" s="191">
        <f>VLOOKUP(P12,'TJ. FUNGSIONAL'!$B$4:$F$34,5,0)</f>
        <v>400000</v>
      </c>
      <c r="AM12" s="191">
        <f>IF(R12+S12&gt;=Q12,(VLOOKUP(N12,[1]Gapok!$B$5:$I$94,5,0)),((VLOOKUP('[1]PER UNIT'!N12,[1]Gapok!$B$5:$I$94,4,0)*('[1]PER UNIT'!R12+'[1]PER UNIT'!S12))))</f>
        <v>375000</v>
      </c>
      <c r="AN12" s="191">
        <f>VLOOKUP(P12,'TJ. FUNGSIONAL'!$B$4:$E$34,4,0)</f>
        <v>300000</v>
      </c>
      <c r="AO12" s="192">
        <f t="shared" si="0"/>
        <v>0</v>
      </c>
      <c r="AP12" s="193">
        <v>35000</v>
      </c>
      <c r="AQ12" s="194">
        <f t="shared" si="11"/>
        <v>0</v>
      </c>
      <c r="AR12" s="195">
        <f t="shared" si="2"/>
        <v>50000</v>
      </c>
      <c r="AS12" s="195">
        <f t="shared" si="3"/>
        <v>0</v>
      </c>
      <c r="AT12" s="196"/>
      <c r="AU12" s="96"/>
      <c r="AV12" s="96"/>
      <c r="AW12" s="96"/>
      <c r="AX12" s="96"/>
      <c r="AY12" s="96"/>
      <c r="AZ12" s="96"/>
      <c r="BA12" s="96"/>
      <c r="BB12" s="96"/>
      <c r="BC12" s="96"/>
      <c r="BD12" s="197">
        <f t="shared" si="4"/>
        <v>1960000</v>
      </c>
      <c r="BE12" s="198">
        <f t="shared" si="5"/>
        <v>0</v>
      </c>
      <c r="BF12" s="195">
        <f t="shared" si="6"/>
        <v>0</v>
      </c>
      <c r="BG12" s="195">
        <f t="shared" si="7"/>
        <v>0</v>
      </c>
      <c r="BH12" s="195">
        <v>0</v>
      </c>
      <c r="BI12" s="195">
        <v>0</v>
      </c>
      <c r="BJ12" s="195"/>
      <c r="BK12" s="107"/>
      <c r="BL12" s="107">
        <f t="shared" si="8"/>
        <v>0</v>
      </c>
      <c r="BM12" s="107"/>
      <c r="BN12" s="107"/>
      <c r="BO12" s="311"/>
      <c r="BP12" s="309">
        <f t="shared" si="9"/>
        <v>0</v>
      </c>
      <c r="BQ12" s="107"/>
      <c r="BR12" s="196"/>
      <c r="BS12" s="200">
        <f t="shared" si="10"/>
        <v>1960000</v>
      </c>
      <c r="BT12" s="244">
        <v>7301903469</v>
      </c>
    </row>
    <row r="13" spans="1:73" x14ac:dyDescent="0.45">
      <c r="A13" s="463">
        <v>7</v>
      </c>
      <c r="B13" s="408" t="s">
        <v>115</v>
      </c>
      <c r="C13" s="240" t="s">
        <v>1007</v>
      </c>
      <c r="D13" s="464" t="s">
        <v>854</v>
      </c>
      <c r="E13" s="465" t="s">
        <v>885</v>
      </c>
      <c r="F13" s="409" t="s">
        <v>855</v>
      </c>
      <c r="G13" s="478" t="s">
        <v>727</v>
      </c>
      <c r="H13" s="410" t="s">
        <v>856</v>
      </c>
      <c r="I13" s="411">
        <v>1</v>
      </c>
      <c r="J13" s="412" t="s">
        <v>163</v>
      </c>
      <c r="K13" s="412" t="s">
        <v>119</v>
      </c>
      <c r="L13" s="412" t="s">
        <v>74</v>
      </c>
      <c r="M13" s="412" t="s">
        <v>359</v>
      </c>
      <c r="N13" s="413" t="s">
        <v>143</v>
      </c>
      <c r="O13" s="411" t="str">
        <f>VLOOKUP(P13,'TJ. FUNGSIONAL'!$B$4:$C$34,2,0)</f>
        <v>Guru Kelas RA</v>
      </c>
      <c r="P13" s="411" t="s">
        <v>360</v>
      </c>
      <c r="Q13" s="414"/>
      <c r="R13" s="414"/>
      <c r="S13" s="466"/>
      <c r="T13" s="467"/>
      <c r="U13" s="415"/>
      <c r="V13" s="415"/>
      <c r="W13" s="445"/>
      <c r="X13" s="416"/>
      <c r="Y13" s="417"/>
      <c r="Z13" s="418"/>
      <c r="AA13" s="468"/>
      <c r="AB13" s="417"/>
      <c r="AC13" s="417"/>
      <c r="AD13" s="417"/>
      <c r="AE13" s="417"/>
      <c r="AF13" s="417"/>
      <c r="AG13" s="417"/>
      <c r="AH13" s="417"/>
      <c r="AI13" s="417"/>
      <c r="AJ13" s="469"/>
      <c r="AK13" s="368">
        <f>VLOOKUP(N13,Gapok!$B$5:$I$94,2,0)</f>
        <v>1020000</v>
      </c>
      <c r="AL13" s="368">
        <f>VLOOKUP(P13,'TJ. FUNGSIONAL'!$B$4:$F$34,5,0)</f>
        <v>500000</v>
      </c>
      <c r="AM13" s="368"/>
      <c r="AN13" s="368">
        <f>VLOOKUP(P13,'TJ. FUNGSIONAL'!$B$4:$E$34,4,0)</f>
        <v>300000</v>
      </c>
      <c r="AO13" s="419">
        <f t="shared" si="0"/>
        <v>50000</v>
      </c>
      <c r="AP13" s="420">
        <v>35000</v>
      </c>
      <c r="AQ13" s="421">
        <f t="shared" si="11"/>
        <v>0</v>
      </c>
      <c r="AR13" s="228">
        <f t="shared" si="2"/>
        <v>0</v>
      </c>
      <c r="AS13" s="228">
        <f t="shared" si="3"/>
        <v>0</v>
      </c>
      <c r="AT13" s="228">
        <v>1000000</v>
      </c>
      <c r="AU13" s="422"/>
      <c r="AV13" s="422"/>
      <c r="AW13" s="422"/>
      <c r="AX13" s="422"/>
      <c r="AY13" s="422"/>
      <c r="AZ13" s="422"/>
      <c r="BA13" s="422"/>
      <c r="BB13" s="422"/>
      <c r="BC13" s="422"/>
      <c r="BD13" s="423">
        <f t="shared" si="4"/>
        <v>2905000</v>
      </c>
      <c r="BE13" s="424">
        <f t="shared" si="5"/>
        <v>0</v>
      </c>
      <c r="BF13" s="228">
        <f t="shared" si="6"/>
        <v>0</v>
      </c>
      <c r="BG13" s="228">
        <f t="shared" si="7"/>
        <v>0</v>
      </c>
      <c r="BH13" s="228">
        <v>0</v>
      </c>
      <c r="BI13" s="228">
        <v>0</v>
      </c>
      <c r="BJ13" s="228"/>
      <c r="BK13" s="425"/>
      <c r="BL13" s="425">
        <f t="shared" ref="BL13:BL16" si="12">SUM(AU13:AW13)</f>
        <v>0</v>
      </c>
      <c r="BM13" s="425"/>
      <c r="BN13" s="425"/>
      <c r="BO13" s="426"/>
      <c r="BP13" s="427">
        <f t="shared" ref="BP13:BP16" si="13">SUM(BE13:BO13)</f>
        <v>0</v>
      </c>
      <c r="BQ13" s="428"/>
      <c r="BR13" s="429"/>
      <c r="BS13" s="430">
        <f t="shared" si="10"/>
        <v>2905000</v>
      </c>
      <c r="BT13" s="431">
        <v>7149700425</v>
      </c>
      <c r="BU13" s="486" t="s">
        <v>991</v>
      </c>
    </row>
    <row r="14" spans="1:73" x14ac:dyDescent="0.45">
      <c r="A14" s="182">
        <v>8</v>
      </c>
      <c r="B14" s="252" t="s">
        <v>123</v>
      </c>
      <c r="C14" s="240" t="s">
        <v>1008</v>
      </c>
      <c r="D14" s="331" t="s">
        <v>958</v>
      </c>
      <c r="E14" s="242" t="s">
        <v>885</v>
      </c>
      <c r="F14" s="332" t="s">
        <v>960</v>
      </c>
      <c r="G14" s="278" t="s">
        <v>727</v>
      </c>
      <c r="H14" s="186" t="s">
        <v>962</v>
      </c>
      <c r="I14" s="340">
        <v>0</v>
      </c>
      <c r="J14" s="145" t="s">
        <v>163</v>
      </c>
      <c r="K14" s="340" t="s">
        <v>176</v>
      </c>
      <c r="L14" s="145" t="s">
        <v>74</v>
      </c>
      <c r="M14" s="145" t="s">
        <v>75</v>
      </c>
      <c r="N14" s="344" t="s">
        <v>170</v>
      </c>
      <c r="O14" s="340" t="str">
        <f>VLOOKUP(P14,'TJ. FUNGSIONAL'!$B$4:$C$34,2,0)</f>
        <v>Guru Kelas RA</v>
      </c>
      <c r="P14" s="340" t="s">
        <v>360</v>
      </c>
      <c r="Q14" s="432">
        <v>19</v>
      </c>
      <c r="R14" s="307">
        <v>17</v>
      </c>
      <c r="S14" s="432">
        <v>2</v>
      </c>
      <c r="T14" s="312"/>
      <c r="U14" s="385"/>
      <c r="V14" s="312"/>
      <c r="W14" s="307">
        <v>6</v>
      </c>
      <c r="X14" s="316"/>
      <c r="Y14" s="316"/>
      <c r="Z14" s="333"/>
      <c r="AA14" s="314">
        <v>1</v>
      </c>
      <c r="AB14" s="316"/>
      <c r="AC14" s="315"/>
      <c r="AD14" s="332"/>
      <c r="AE14" s="332"/>
      <c r="AF14" s="332"/>
      <c r="AG14" s="334"/>
      <c r="AH14" s="332"/>
      <c r="AI14" s="332"/>
      <c r="AJ14" s="332"/>
      <c r="AK14" s="191">
        <f>VLOOKUP(N14,Gapok!$B$5:$I$94,2,0)</f>
        <v>840000</v>
      </c>
      <c r="AL14" s="371">
        <f>VLOOKUP(P14,'TJ. FUNGSIONAL'!$B$4:$F$34,5,0)</f>
        <v>500000</v>
      </c>
      <c r="AM14" s="191">
        <f>IF(R14+S14&gt;=Q14,(VLOOKUP(N14,[1]Gapok!$B$5:$I$94,5,0)),((VLOOKUP('[1]PER UNIT'!N14,[1]Gapok!$B$5:$I$94,4,0)*('[1]PER UNIT'!R14+'[1]PER UNIT'!S14))))</f>
        <v>375000</v>
      </c>
      <c r="AN14" s="191">
        <f>VLOOKUP(P14,'TJ. FUNGSIONAL'!$B$4:$E$34,4,0)</f>
        <v>300000</v>
      </c>
      <c r="AO14" s="192">
        <f t="shared" si="0"/>
        <v>0</v>
      </c>
      <c r="AP14" s="193">
        <v>35000</v>
      </c>
      <c r="AQ14" s="194">
        <f t="shared" si="11"/>
        <v>150000</v>
      </c>
      <c r="AR14" s="195">
        <f t="shared" si="2"/>
        <v>50000</v>
      </c>
      <c r="AS14" s="195">
        <f t="shared" si="3"/>
        <v>0</v>
      </c>
      <c r="AT14" s="326"/>
      <c r="AU14" s="327"/>
      <c r="AV14" s="327"/>
      <c r="AW14" s="327"/>
      <c r="AX14" s="327"/>
      <c r="AY14" s="327"/>
      <c r="AZ14" s="327"/>
      <c r="BA14" s="327"/>
      <c r="BB14" s="327"/>
      <c r="BC14" s="327"/>
      <c r="BD14" s="197">
        <f t="shared" si="4"/>
        <v>2250000</v>
      </c>
      <c r="BE14" s="198">
        <f t="shared" si="5"/>
        <v>0</v>
      </c>
      <c r="BF14" s="195">
        <f t="shared" ref="BF14:BF16" si="14">7500*S14</f>
        <v>15000</v>
      </c>
      <c r="BG14" s="195">
        <f t="shared" si="7"/>
        <v>0</v>
      </c>
      <c r="BH14" s="195">
        <v>0</v>
      </c>
      <c r="BI14" s="195">
        <v>0</v>
      </c>
      <c r="BJ14" s="195"/>
      <c r="BK14" s="328"/>
      <c r="BL14" s="107">
        <f t="shared" si="12"/>
        <v>0</v>
      </c>
      <c r="BM14" s="328"/>
      <c r="BN14" s="328"/>
      <c r="BO14" s="329"/>
      <c r="BP14" s="309">
        <f t="shared" si="13"/>
        <v>15000</v>
      </c>
      <c r="BQ14" s="328"/>
      <c r="BR14" s="326"/>
      <c r="BS14" s="200">
        <f t="shared" si="10"/>
        <v>2235000</v>
      </c>
      <c r="BT14" s="342">
        <v>7328941397</v>
      </c>
      <c r="BU14" s="343"/>
    </row>
    <row r="15" spans="1:73" x14ac:dyDescent="0.45">
      <c r="A15" s="182">
        <v>9</v>
      </c>
      <c r="B15" s="252" t="s">
        <v>127</v>
      </c>
      <c r="C15" s="240" t="s">
        <v>1009</v>
      </c>
      <c r="D15" s="241" t="s">
        <v>959</v>
      </c>
      <c r="E15" s="242" t="s">
        <v>885</v>
      </c>
      <c r="F15" s="185" t="s">
        <v>961</v>
      </c>
      <c r="G15" s="278" t="s">
        <v>727</v>
      </c>
      <c r="H15" s="186" t="s">
        <v>962</v>
      </c>
      <c r="I15" s="340">
        <v>0</v>
      </c>
      <c r="J15" s="145" t="s">
        <v>163</v>
      </c>
      <c r="K15" s="340" t="s">
        <v>73</v>
      </c>
      <c r="L15" s="145" t="s">
        <v>74</v>
      </c>
      <c r="M15" s="145" t="s">
        <v>75</v>
      </c>
      <c r="N15" s="344" t="s">
        <v>170</v>
      </c>
      <c r="O15" s="340" t="str">
        <f>VLOOKUP(P15,'TJ. FUNGSIONAL'!$B$4:$C$34,2,0)</f>
        <v>Guru Kelas RA</v>
      </c>
      <c r="P15" s="340" t="s">
        <v>360</v>
      </c>
      <c r="Q15" s="432">
        <v>19</v>
      </c>
      <c r="R15" s="376">
        <v>19</v>
      </c>
      <c r="S15" s="432"/>
      <c r="T15" s="432"/>
      <c r="U15" s="385"/>
      <c r="V15" s="432"/>
      <c r="W15" s="307"/>
      <c r="X15" s="336"/>
      <c r="Y15" s="336"/>
      <c r="Z15" s="261"/>
      <c r="AA15" s="337">
        <v>1</v>
      </c>
      <c r="AB15" s="336"/>
      <c r="AC15" s="338"/>
      <c r="AD15" s="185"/>
      <c r="AE15" s="185"/>
      <c r="AF15" s="185"/>
      <c r="AG15" s="243"/>
      <c r="AH15" s="185"/>
      <c r="AI15" s="185"/>
      <c r="AJ15" s="185"/>
      <c r="AK15" s="191">
        <f>VLOOKUP(N15,Gapok!$B$5:$I$94,2,0)</f>
        <v>840000</v>
      </c>
      <c r="AL15" s="371">
        <f>VLOOKUP(P15,'TJ. FUNGSIONAL'!$B$4:$F$34,5,0)</f>
        <v>500000</v>
      </c>
      <c r="AM15" s="191">
        <f>IF(R15+S15&gt;=Q15,(VLOOKUP(N15,[1]Gapok!$B$5:$I$94,5,0)),((VLOOKUP('[1]PER UNIT'!N15,[1]Gapok!$B$5:$I$94,4,0)*('[1]PER UNIT'!R15+'[1]PER UNIT'!S15))))</f>
        <v>375000</v>
      </c>
      <c r="AN15" s="191">
        <f>VLOOKUP(P15,'TJ. FUNGSIONAL'!$B$4:$E$34,4,0)</f>
        <v>300000</v>
      </c>
      <c r="AO15" s="192">
        <f t="shared" si="0"/>
        <v>0</v>
      </c>
      <c r="AP15" s="193">
        <v>35000</v>
      </c>
      <c r="AQ15" s="194">
        <f t="shared" si="11"/>
        <v>0</v>
      </c>
      <c r="AR15" s="195">
        <f t="shared" si="2"/>
        <v>50000</v>
      </c>
      <c r="AS15" s="195">
        <f t="shared" si="3"/>
        <v>0</v>
      </c>
      <c r="AT15" s="196"/>
      <c r="AU15" s="96"/>
      <c r="AV15" s="96"/>
      <c r="AW15" s="96"/>
      <c r="AX15" s="96"/>
      <c r="AY15" s="96"/>
      <c r="AZ15" s="96"/>
      <c r="BA15" s="96"/>
      <c r="BB15" s="96"/>
      <c r="BC15" s="96"/>
      <c r="BD15" s="197">
        <f t="shared" si="4"/>
        <v>2100000</v>
      </c>
      <c r="BE15" s="198">
        <f t="shared" ref="BE15:BE16" si="15">T15*25000+U15*40000+V15*60000</f>
        <v>0</v>
      </c>
      <c r="BF15" s="195">
        <f t="shared" si="14"/>
        <v>0</v>
      </c>
      <c r="BG15" s="195">
        <f t="shared" si="7"/>
        <v>0</v>
      </c>
      <c r="BH15" s="195">
        <v>0</v>
      </c>
      <c r="BI15" s="195">
        <v>0</v>
      </c>
      <c r="BJ15" s="195"/>
      <c r="BK15" s="107"/>
      <c r="BL15" s="107">
        <f t="shared" si="12"/>
        <v>0</v>
      </c>
      <c r="BM15" s="107"/>
      <c r="BN15" s="107"/>
      <c r="BO15" s="339"/>
      <c r="BP15" s="309">
        <f t="shared" si="13"/>
        <v>0</v>
      </c>
      <c r="BQ15" s="107"/>
      <c r="BR15" s="196"/>
      <c r="BS15" s="200">
        <f t="shared" si="10"/>
        <v>2100000</v>
      </c>
      <c r="BT15" s="244">
        <v>7328940625</v>
      </c>
      <c r="BU15" s="343"/>
    </row>
    <row r="16" spans="1:73" x14ac:dyDescent="0.45">
      <c r="A16" s="182">
        <v>10</v>
      </c>
      <c r="B16" s="252" t="s">
        <v>134</v>
      </c>
      <c r="C16" s="240" t="s">
        <v>1010</v>
      </c>
      <c r="D16" s="241" t="s">
        <v>967</v>
      </c>
      <c r="E16" s="242" t="s">
        <v>885</v>
      </c>
      <c r="F16" s="185" t="s">
        <v>969</v>
      </c>
      <c r="G16" s="278" t="s">
        <v>727</v>
      </c>
      <c r="H16" s="186" t="s">
        <v>968</v>
      </c>
      <c r="I16" s="340">
        <v>0</v>
      </c>
      <c r="J16" s="145" t="s">
        <v>163</v>
      </c>
      <c r="K16" s="145" t="s">
        <v>73</v>
      </c>
      <c r="L16" s="145" t="s">
        <v>84</v>
      </c>
      <c r="M16" s="145" t="s">
        <v>359</v>
      </c>
      <c r="N16" s="188" t="s">
        <v>143</v>
      </c>
      <c r="O16" s="145" t="s">
        <v>447</v>
      </c>
      <c r="P16" s="145" t="s">
        <v>360</v>
      </c>
      <c r="Q16" s="432">
        <v>19</v>
      </c>
      <c r="R16" s="307">
        <v>19</v>
      </c>
      <c r="S16" s="432"/>
      <c r="T16" s="335"/>
      <c r="U16" s="385"/>
      <c r="V16" s="335"/>
      <c r="W16" s="443"/>
      <c r="X16" s="336"/>
      <c r="Y16" s="336"/>
      <c r="Z16" s="261"/>
      <c r="AA16" s="337">
        <v>1</v>
      </c>
      <c r="AB16" s="336"/>
      <c r="AC16" s="338"/>
      <c r="AD16" s="185"/>
      <c r="AE16" s="185"/>
      <c r="AF16" s="185"/>
      <c r="AG16" s="243"/>
      <c r="AH16" s="185"/>
      <c r="AI16" s="185"/>
      <c r="AJ16" s="185"/>
      <c r="AK16" s="191">
        <f>VLOOKUP(N16,Gapok!$B$5:$I$94,2,0)</f>
        <v>1020000</v>
      </c>
      <c r="AL16" s="371">
        <f>VLOOKUP(P16,'TJ. FUNGSIONAL'!$B$4:$F$34,5,0)</f>
        <v>500000</v>
      </c>
      <c r="AM16" s="191">
        <f>IF(R16+S16&gt;=Q16,(VLOOKUP(N16,[1]Gapok!$B$5:$I$94,5,0)),((VLOOKUP('[1]PER UNIT'!N16,[1]Gapok!$B$5:$I$94,4,0)*('[1]PER UNIT'!R16+'[1]PER UNIT'!S16))))</f>
        <v>375000</v>
      </c>
      <c r="AN16" s="191">
        <f>VLOOKUP(P16,'TJ. FUNGSIONAL'!$B$4:$E$34,4,0)</f>
        <v>300000</v>
      </c>
      <c r="AO16" s="192">
        <f t="shared" si="0"/>
        <v>0</v>
      </c>
      <c r="AP16" s="193">
        <v>35000</v>
      </c>
      <c r="AQ16" s="194"/>
      <c r="AR16" s="195">
        <f t="shared" si="2"/>
        <v>50000</v>
      </c>
      <c r="AS16" s="195">
        <f t="shared" si="3"/>
        <v>0</v>
      </c>
      <c r="AT16" s="196"/>
      <c r="AU16" s="96"/>
      <c r="AV16" s="96"/>
      <c r="AW16" s="96"/>
      <c r="AX16" s="96"/>
      <c r="AY16" s="96"/>
      <c r="AZ16" s="96"/>
      <c r="BA16" s="96"/>
      <c r="BB16" s="96"/>
      <c r="BC16" s="96"/>
      <c r="BD16" s="197">
        <f t="shared" si="4"/>
        <v>2280000</v>
      </c>
      <c r="BE16" s="198">
        <f t="shared" si="15"/>
        <v>0</v>
      </c>
      <c r="BF16" s="195">
        <f t="shared" si="14"/>
        <v>0</v>
      </c>
      <c r="BG16" s="195">
        <f t="shared" si="7"/>
        <v>0</v>
      </c>
      <c r="BH16" s="195">
        <v>0</v>
      </c>
      <c r="BI16" s="195">
        <v>0</v>
      </c>
      <c r="BJ16" s="195"/>
      <c r="BK16" s="107"/>
      <c r="BL16" s="107">
        <f t="shared" si="12"/>
        <v>0</v>
      </c>
      <c r="BM16" s="107"/>
      <c r="BN16" s="107"/>
      <c r="BO16" s="339"/>
      <c r="BP16" s="309">
        <f t="shared" si="13"/>
        <v>0</v>
      </c>
      <c r="BQ16" s="328"/>
      <c r="BR16" s="326"/>
      <c r="BS16" s="200">
        <f t="shared" si="10"/>
        <v>2280000</v>
      </c>
      <c r="BT16" s="377">
        <v>7320036482</v>
      </c>
      <c r="BU16" s="343"/>
    </row>
    <row r="17" spans="1:73" x14ac:dyDescent="0.45">
      <c r="A17" s="182">
        <v>11</v>
      </c>
      <c r="B17" s="252" t="s">
        <v>139</v>
      </c>
      <c r="C17" s="240" t="s">
        <v>1011</v>
      </c>
      <c r="D17" s="183" t="s">
        <v>916</v>
      </c>
      <c r="E17" s="184" t="s">
        <v>214</v>
      </c>
      <c r="F17" s="185" t="s">
        <v>215</v>
      </c>
      <c r="G17" s="278" t="s">
        <v>727</v>
      </c>
      <c r="H17" s="186" t="s">
        <v>835</v>
      </c>
      <c r="I17" s="340">
        <v>6</v>
      </c>
      <c r="J17" s="187" t="s">
        <v>72</v>
      </c>
      <c r="K17" s="145" t="s">
        <v>99</v>
      </c>
      <c r="L17" s="145" t="s">
        <v>84</v>
      </c>
      <c r="M17" s="145" t="s">
        <v>946</v>
      </c>
      <c r="N17" s="188" t="s">
        <v>93</v>
      </c>
      <c r="O17" s="340" t="s">
        <v>724</v>
      </c>
      <c r="P17" s="340" t="s">
        <v>122</v>
      </c>
      <c r="Q17" s="432">
        <v>18</v>
      </c>
      <c r="R17" s="432">
        <v>17</v>
      </c>
      <c r="S17" s="432">
        <v>1</v>
      </c>
      <c r="T17" s="270"/>
      <c r="U17" s="385"/>
      <c r="V17" s="271"/>
      <c r="W17" s="444"/>
      <c r="X17" s="272"/>
      <c r="Y17" s="145"/>
      <c r="Z17" s="261"/>
      <c r="AA17" s="337">
        <v>1</v>
      </c>
      <c r="AB17" s="262"/>
      <c r="AC17" s="145"/>
      <c r="AD17" s="185"/>
      <c r="AE17" s="189"/>
      <c r="AF17" s="189"/>
      <c r="AG17" s="190"/>
      <c r="AH17" s="189"/>
      <c r="AI17" s="189"/>
      <c r="AJ17" s="189"/>
      <c r="AK17" s="191">
        <f>VLOOKUP(N17,Gapok!$B$5:$I$94,6,0)</f>
        <v>1650000</v>
      </c>
      <c r="AL17" s="191">
        <f>VLOOKUP(P17,'TJ. FUNGSIONAL'!$B$4:$F$34,3,0)</f>
        <v>1850000</v>
      </c>
      <c r="AM17" s="191">
        <f>IF(R21+S17&gt;=Q17,VLOOKUP(N17,Gapok!$B$5:$I$94,8,0),VLOOKUP('PER UNIT'!N17,Gapok!$B$5:$I$94,7,0)*('PER UNIT'!R21+'PER UNIT'!S17))</f>
        <v>450000</v>
      </c>
      <c r="AN17" s="191">
        <f>VLOOKUP(P17,'TJ. FUNGSIONAL'!$B$4:$E$34,4,0)</f>
        <v>750000</v>
      </c>
      <c r="AO17" s="192">
        <f t="shared" ref="AO17:AO66" si="16">50000*I17</f>
        <v>300000</v>
      </c>
      <c r="AP17" s="193">
        <v>140000</v>
      </c>
      <c r="AQ17" s="194">
        <f t="shared" si="11"/>
        <v>0</v>
      </c>
      <c r="AR17" s="195">
        <f t="shared" si="2"/>
        <v>50000</v>
      </c>
      <c r="AS17" s="195">
        <f t="shared" ref="AS17:AS30" si="17">25000*AF17</f>
        <v>0</v>
      </c>
      <c r="AT17" s="196"/>
      <c r="AU17" s="96"/>
      <c r="AV17" s="96">
        <f>950000+1000000</f>
        <v>1950000</v>
      </c>
      <c r="AW17" s="96"/>
      <c r="AX17" s="96"/>
      <c r="AY17" s="96"/>
      <c r="AZ17" s="96"/>
      <c r="BA17" s="96"/>
      <c r="BB17" s="96"/>
      <c r="BC17" s="96">
        <v>84800</v>
      </c>
      <c r="BD17" s="197">
        <f t="shared" si="4"/>
        <v>7224800</v>
      </c>
      <c r="BE17" s="198">
        <f t="shared" ref="BE17:BE63" si="18">T17*25000+U17*40000+V17*60000</f>
        <v>0</v>
      </c>
      <c r="BF17" s="195">
        <f t="shared" ref="BF17:BF30" si="19">7500*S17</f>
        <v>7500</v>
      </c>
      <c r="BG17" s="195">
        <f t="shared" ref="BG17:BG42" si="20">250000*AD17+175000*AE17</f>
        <v>0</v>
      </c>
      <c r="BH17" s="195">
        <v>140000</v>
      </c>
      <c r="BI17" s="195">
        <v>0</v>
      </c>
      <c r="BJ17" s="195"/>
      <c r="BK17" s="107">
        <v>40000</v>
      </c>
      <c r="BL17" s="107">
        <f t="shared" ref="BL17:BL43" si="21">SUM(AU17:AW17)</f>
        <v>1950000</v>
      </c>
      <c r="BM17" s="107"/>
      <c r="BN17" s="96">
        <v>84800</v>
      </c>
      <c r="BO17" s="311"/>
      <c r="BP17" s="309">
        <f t="shared" si="9"/>
        <v>2222300</v>
      </c>
      <c r="BQ17" s="107"/>
      <c r="BR17" s="196"/>
      <c r="BS17" s="200">
        <f t="shared" ref="BS17:BS66" si="22">BD17-BP17+BQ17</f>
        <v>5002500</v>
      </c>
      <c r="BT17" s="201">
        <v>7023047947</v>
      </c>
    </row>
    <row r="18" spans="1:73" x14ac:dyDescent="0.45">
      <c r="A18" s="182">
        <v>12</v>
      </c>
      <c r="B18" s="252" t="s">
        <v>144</v>
      </c>
      <c r="C18" s="240" t="s">
        <v>1012</v>
      </c>
      <c r="D18" s="202" t="s">
        <v>917</v>
      </c>
      <c r="E18" s="203" t="s">
        <v>81</v>
      </c>
      <c r="F18" s="204" t="s">
        <v>82</v>
      </c>
      <c r="G18" s="278" t="s">
        <v>727</v>
      </c>
      <c r="H18" s="186" t="s">
        <v>836</v>
      </c>
      <c r="I18" s="362">
        <v>15</v>
      </c>
      <c r="J18" s="187" t="s">
        <v>72</v>
      </c>
      <c r="K18" s="187" t="s">
        <v>83</v>
      </c>
      <c r="L18" s="187" t="s">
        <v>84</v>
      </c>
      <c r="M18" s="187" t="s">
        <v>85</v>
      </c>
      <c r="N18" s="205" t="s">
        <v>86</v>
      </c>
      <c r="O18" s="340" t="str">
        <f>VLOOKUP(P18,'TJ. FUNGSIONAL'!$B$4:$C$34,2,0)</f>
        <v>Kepala SD</v>
      </c>
      <c r="P18" s="362" t="s">
        <v>87</v>
      </c>
      <c r="Q18" s="376">
        <v>18</v>
      </c>
      <c r="R18" s="376">
        <v>18</v>
      </c>
      <c r="S18" s="376"/>
      <c r="T18" s="318"/>
      <c r="U18" s="385"/>
      <c r="V18" s="292"/>
      <c r="W18" s="442">
        <v>2</v>
      </c>
      <c r="X18" s="272"/>
      <c r="Y18" s="263"/>
      <c r="Z18" s="261"/>
      <c r="AA18" s="370"/>
      <c r="AB18" s="263"/>
      <c r="AC18" s="263"/>
      <c r="AD18" s="263"/>
      <c r="AE18" s="189">
        <v>1</v>
      </c>
      <c r="AF18" s="263"/>
      <c r="AG18" s="263"/>
      <c r="AH18" s="263"/>
      <c r="AI18" s="263"/>
      <c r="AJ18" s="189"/>
      <c r="AK18" s="191">
        <f>VLOOKUP(N18,Gapok!$B$5:$I$94,6,0)</f>
        <v>2500000</v>
      </c>
      <c r="AL18" s="191">
        <f>VLOOKUP(P18,'TJ. FUNGSIONAL'!$B$4:$F$34,5,0)</f>
        <v>2200000</v>
      </c>
      <c r="AM18" s="191">
        <f>IF(R22+S18&gt;=Q18,VLOOKUP(N18,Gapok!$B$5:$I$94,8,0),VLOOKUP('PER UNIT'!N18,Gapok!$B$5:$I$94,7,0)*('PER UNIT'!R22+'PER UNIT'!S18))</f>
        <v>525000</v>
      </c>
      <c r="AN18" s="191">
        <f>VLOOKUP(P18,'TJ. FUNGSIONAL'!$B$4:$E$34,4,0)</f>
        <v>750000</v>
      </c>
      <c r="AO18" s="192">
        <f t="shared" si="16"/>
        <v>750000</v>
      </c>
      <c r="AP18" s="193">
        <v>35000</v>
      </c>
      <c r="AQ18" s="194">
        <f>(W18*25000)+X18*75000+Y18*25000+AH18*100000+AI18*50000+AJ18*30000</f>
        <v>50000</v>
      </c>
      <c r="AR18" s="195">
        <f t="shared" ref="AR18:AR54" si="23">Z18*30000+AA18*50000</f>
        <v>0</v>
      </c>
      <c r="AS18" s="195">
        <f t="shared" si="17"/>
        <v>0</v>
      </c>
      <c r="AT18" s="195"/>
      <c r="AU18" s="96">
        <v>685000</v>
      </c>
      <c r="AV18" s="96">
        <v>2000000</v>
      </c>
      <c r="AW18" s="96"/>
      <c r="AX18" s="96"/>
      <c r="AY18" s="96"/>
      <c r="AZ18" s="96"/>
      <c r="BA18" s="96"/>
      <c r="BB18" s="96">
        <v>975000</v>
      </c>
      <c r="BC18" s="96">
        <v>84800</v>
      </c>
      <c r="BD18" s="197">
        <f t="shared" ref="BD18:BD66" si="24">SUM(AK18:BC18)</f>
        <v>10554800</v>
      </c>
      <c r="BE18" s="198">
        <f t="shared" si="18"/>
        <v>0</v>
      </c>
      <c r="BF18" s="195">
        <f t="shared" si="19"/>
        <v>0</v>
      </c>
      <c r="BG18" s="195">
        <f t="shared" si="20"/>
        <v>175000</v>
      </c>
      <c r="BH18" s="195">
        <v>0</v>
      </c>
      <c r="BI18" s="195">
        <v>0</v>
      </c>
      <c r="BJ18" s="195"/>
      <c r="BK18" s="107">
        <v>40000</v>
      </c>
      <c r="BL18" s="107">
        <f t="shared" si="21"/>
        <v>2685000</v>
      </c>
      <c r="BM18" s="96">
        <v>975000</v>
      </c>
      <c r="BN18" s="96">
        <v>84800</v>
      </c>
      <c r="BO18" s="311"/>
      <c r="BP18" s="309">
        <f t="shared" ref="BP18:BP43" si="25">SUM(BE18:BO18)</f>
        <v>3959800</v>
      </c>
      <c r="BQ18" s="107"/>
      <c r="BR18" s="196"/>
      <c r="BS18" s="200">
        <f t="shared" si="22"/>
        <v>6595000</v>
      </c>
      <c r="BT18" s="201">
        <v>7030278784</v>
      </c>
    </row>
    <row r="19" spans="1:73" x14ac:dyDescent="0.45">
      <c r="A19" s="182">
        <v>13</v>
      </c>
      <c r="B19" s="252" t="s">
        <v>148</v>
      </c>
      <c r="C19" s="240" t="s">
        <v>1013</v>
      </c>
      <c r="D19" s="202" t="s">
        <v>918</v>
      </c>
      <c r="E19" s="203" t="s">
        <v>81</v>
      </c>
      <c r="F19" s="185" t="s">
        <v>837</v>
      </c>
      <c r="G19" s="278" t="s">
        <v>727</v>
      </c>
      <c r="H19" s="186" t="s">
        <v>838</v>
      </c>
      <c r="I19" s="340">
        <v>14</v>
      </c>
      <c r="J19" s="145" t="s">
        <v>72</v>
      </c>
      <c r="K19" s="145" t="s">
        <v>99</v>
      </c>
      <c r="L19" s="145" t="s">
        <v>84</v>
      </c>
      <c r="M19" s="145" t="s">
        <v>112</v>
      </c>
      <c r="N19" s="188" t="s">
        <v>143</v>
      </c>
      <c r="O19" s="340" t="str">
        <f>VLOOKUP(P19,'TJ. FUNGSIONAL'!$B$4:$C$34,2,0)</f>
        <v>Wakil Kepala SD</v>
      </c>
      <c r="P19" s="340" t="s">
        <v>114</v>
      </c>
      <c r="Q19" s="376">
        <v>18</v>
      </c>
      <c r="R19" s="376">
        <v>18</v>
      </c>
      <c r="S19" s="376"/>
      <c r="T19" s="318"/>
      <c r="U19" s="385"/>
      <c r="V19" s="292"/>
      <c r="W19" s="442">
        <v>2</v>
      </c>
      <c r="X19" s="265"/>
      <c r="Y19" s="263"/>
      <c r="Z19" s="261"/>
      <c r="AA19" s="370"/>
      <c r="AB19" s="263"/>
      <c r="AC19" s="263"/>
      <c r="AD19" s="263"/>
      <c r="AE19" s="263"/>
      <c r="AF19" s="263"/>
      <c r="AG19" s="263"/>
      <c r="AH19" s="263"/>
      <c r="AI19" s="263"/>
      <c r="AJ19" s="189"/>
      <c r="AK19" s="191">
        <f>VLOOKUP(N19,Gapok!$B$5:$I$94,6,0)</f>
        <v>1350000</v>
      </c>
      <c r="AL19" s="191">
        <f>VLOOKUP(P19,'TJ. FUNGSIONAL'!$B$4:$F$34,5,0)</f>
        <v>1700000</v>
      </c>
      <c r="AM19" s="191">
        <f>IF(R21+S19&gt;=Q19,VLOOKUP(N19,Gapok!$B$5:$I$94,8,0),VLOOKUP('PER UNIT'!N19,Gapok!$B$5:$I$94,7,0)*('PER UNIT'!R21+'PER UNIT'!S19))</f>
        <v>425000</v>
      </c>
      <c r="AN19" s="191">
        <f>VLOOKUP(P19,'TJ. FUNGSIONAL'!$B$4:$E$34,4,0)</f>
        <v>500000</v>
      </c>
      <c r="AO19" s="192">
        <f t="shared" si="16"/>
        <v>700000</v>
      </c>
      <c r="AP19" s="193">
        <v>35000</v>
      </c>
      <c r="AQ19" s="194">
        <f t="shared" ref="AQ19:AQ66" si="26">(W19*25000)+X19*75000+Y19*25000+AH19*100000+AI19*50000+AJ19*30000</f>
        <v>50000</v>
      </c>
      <c r="AR19" s="195">
        <f t="shared" si="23"/>
        <v>0</v>
      </c>
      <c r="AS19" s="195">
        <f t="shared" si="17"/>
        <v>0</v>
      </c>
      <c r="AT19" s="206"/>
      <c r="AU19" s="96"/>
      <c r="AV19" s="96">
        <v>1000000</v>
      </c>
      <c r="AW19" s="96">
        <v>1500000</v>
      </c>
      <c r="AX19" s="96"/>
      <c r="AY19" s="96"/>
      <c r="AZ19" s="96"/>
      <c r="BA19" s="96"/>
      <c r="BB19" s="96">
        <v>975000</v>
      </c>
      <c r="BC19" s="96">
        <v>84800</v>
      </c>
      <c r="BD19" s="197">
        <f t="shared" si="24"/>
        <v>8319800</v>
      </c>
      <c r="BE19" s="198">
        <f t="shared" si="18"/>
        <v>0</v>
      </c>
      <c r="BF19" s="195">
        <f t="shared" si="19"/>
        <v>0</v>
      </c>
      <c r="BG19" s="195">
        <f t="shared" si="20"/>
        <v>0</v>
      </c>
      <c r="BH19" s="195">
        <v>0</v>
      </c>
      <c r="BI19" s="195">
        <v>0</v>
      </c>
      <c r="BJ19" s="195"/>
      <c r="BK19" s="208">
        <v>40000</v>
      </c>
      <c r="BL19" s="107">
        <f t="shared" si="21"/>
        <v>2500000</v>
      </c>
      <c r="BM19" s="209">
        <v>975000</v>
      </c>
      <c r="BN19" s="96">
        <v>84800</v>
      </c>
      <c r="BO19" s="311"/>
      <c r="BP19" s="310">
        <f t="shared" si="25"/>
        <v>3599800</v>
      </c>
      <c r="BQ19" s="107"/>
      <c r="BR19" s="196"/>
      <c r="BS19" s="200">
        <f t="shared" si="22"/>
        <v>4720000</v>
      </c>
      <c r="BT19" s="201">
        <v>7107158353</v>
      </c>
    </row>
    <row r="20" spans="1:73" x14ac:dyDescent="0.45">
      <c r="A20" s="182">
        <v>14</v>
      </c>
      <c r="B20" s="252" t="s">
        <v>153</v>
      </c>
      <c r="C20" s="240" t="s">
        <v>1014</v>
      </c>
      <c r="D20" s="202" t="s">
        <v>919</v>
      </c>
      <c r="E20" s="203" t="s">
        <v>81</v>
      </c>
      <c r="F20" s="204" t="s">
        <v>839</v>
      </c>
      <c r="G20" s="278" t="s">
        <v>727</v>
      </c>
      <c r="H20" s="186" t="s">
        <v>840</v>
      </c>
      <c r="I20" s="187">
        <v>13</v>
      </c>
      <c r="J20" s="187" t="s">
        <v>72</v>
      </c>
      <c r="K20" s="187" t="s">
        <v>119</v>
      </c>
      <c r="L20" s="187" t="s">
        <v>84</v>
      </c>
      <c r="M20" s="187" t="s">
        <v>120</v>
      </c>
      <c r="N20" s="205" t="s">
        <v>121</v>
      </c>
      <c r="O20" s="340" t="str">
        <f>VLOOKUP(P20,'TJ. FUNGSIONAL'!$B$4:$C$34,2,0)</f>
        <v>Kepala Divisi</v>
      </c>
      <c r="P20" s="362" t="s">
        <v>122</v>
      </c>
      <c r="Q20" s="376">
        <v>18</v>
      </c>
      <c r="R20" s="376">
        <v>16</v>
      </c>
      <c r="S20" s="376">
        <v>2</v>
      </c>
      <c r="T20" s="318"/>
      <c r="U20" s="385"/>
      <c r="V20" s="292"/>
      <c r="W20" s="442">
        <v>2</v>
      </c>
      <c r="X20" s="265"/>
      <c r="Y20" s="263"/>
      <c r="Z20" s="261"/>
      <c r="AA20" s="370"/>
      <c r="AB20" s="263"/>
      <c r="AC20" s="263"/>
      <c r="AD20" s="263"/>
      <c r="AE20" s="263"/>
      <c r="AF20" s="263"/>
      <c r="AG20" s="263"/>
      <c r="AH20" s="263"/>
      <c r="AI20" s="263"/>
      <c r="AJ20" s="189"/>
      <c r="AK20" s="191">
        <f>VLOOKUP(N20,Gapok!$B$5:$I$94,6,0)</f>
        <v>2075000</v>
      </c>
      <c r="AL20" s="191">
        <f>VLOOKUP(P20,'TJ. FUNGSIONAL'!$B$4:$F$34,5,0)</f>
        <v>2200000</v>
      </c>
      <c r="AM20" s="191">
        <f>IF(R20+S20&gt;=Q20,VLOOKUP(N20,Gapok!$B$5:$I$94,8,0),VLOOKUP('PER UNIT'!N20,Gapok!$B$5:$I$94,7,0)*('PER UNIT'!R20+'PER UNIT'!S20))</f>
        <v>475000</v>
      </c>
      <c r="AN20" s="191">
        <f>VLOOKUP(P20,'TJ. FUNGSIONAL'!$B$4:$E$34,4,0)</f>
        <v>750000</v>
      </c>
      <c r="AO20" s="192">
        <f t="shared" si="16"/>
        <v>650000</v>
      </c>
      <c r="AP20" s="193">
        <v>35000</v>
      </c>
      <c r="AQ20" s="194">
        <f t="shared" si="26"/>
        <v>50000</v>
      </c>
      <c r="AR20" s="195">
        <f t="shared" si="23"/>
        <v>0</v>
      </c>
      <c r="AS20" s="195">
        <f t="shared" si="17"/>
        <v>0</v>
      </c>
      <c r="AT20" s="195"/>
      <c r="AU20" s="96"/>
      <c r="AV20" s="96">
        <v>1000000</v>
      </c>
      <c r="AW20" s="96"/>
      <c r="AX20" s="96"/>
      <c r="AY20" s="96"/>
      <c r="AZ20" s="96"/>
      <c r="BA20" s="96"/>
      <c r="BB20" s="96">
        <v>975000</v>
      </c>
      <c r="BC20" s="96">
        <v>84800</v>
      </c>
      <c r="BD20" s="197">
        <f t="shared" si="24"/>
        <v>8294800</v>
      </c>
      <c r="BE20" s="198">
        <f t="shared" si="18"/>
        <v>0</v>
      </c>
      <c r="BF20" s="195">
        <f t="shared" si="19"/>
        <v>15000</v>
      </c>
      <c r="BG20" s="195">
        <f t="shared" si="20"/>
        <v>0</v>
      </c>
      <c r="BH20" s="195">
        <v>35000</v>
      </c>
      <c r="BI20" s="195">
        <v>0</v>
      </c>
      <c r="BJ20" s="195"/>
      <c r="BK20" s="107">
        <v>40000</v>
      </c>
      <c r="BL20" s="107">
        <f t="shared" si="21"/>
        <v>1000000</v>
      </c>
      <c r="BM20" s="96">
        <v>975000</v>
      </c>
      <c r="BN20" s="96">
        <v>84800</v>
      </c>
      <c r="BO20" s="311"/>
      <c r="BP20" s="309">
        <f t="shared" si="25"/>
        <v>2149800</v>
      </c>
      <c r="BQ20" s="107"/>
      <c r="BR20" s="196"/>
      <c r="BS20" s="200">
        <f t="shared" si="22"/>
        <v>6145000</v>
      </c>
      <c r="BT20" s="201">
        <v>7040707349</v>
      </c>
    </row>
    <row r="21" spans="1:73" x14ac:dyDescent="0.45">
      <c r="A21" s="182">
        <v>15</v>
      </c>
      <c r="B21" s="252" t="s">
        <v>159</v>
      </c>
      <c r="C21" s="240" t="s">
        <v>1015</v>
      </c>
      <c r="D21" s="296" t="s">
        <v>906</v>
      </c>
      <c r="E21" s="203" t="s">
        <v>81</v>
      </c>
      <c r="F21" s="185" t="s">
        <v>137</v>
      </c>
      <c r="G21" s="278" t="s">
        <v>727</v>
      </c>
      <c r="H21" s="186" t="s">
        <v>873</v>
      </c>
      <c r="I21" s="340">
        <v>10</v>
      </c>
      <c r="J21" s="145" t="s">
        <v>72</v>
      </c>
      <c r="K21" s="145" t="s">
        <v>83</v>
      </c>
      <c r="L21" s="145" t="s">
        <v>74</v>
      </c>
      <c r="M21" s="145" t="s">
        <v>75</v>
      </c>
      <c r="N21" s="188" t="s">
        <v>76</v>
      </c>
      <c r="O21" s="340" t="str">
        <f>VLOOKUP(P21,'TJ. FUNGSIONAL'!$B$4:$C$34,2,0)</f>
        <v>Petugas Dapur</v>
      </c>
      <c r="P21" s="340" t="s">
        <v>319</v>
      </c>
      <c r="Q21" s="376">
        <v>18</v>
      </c>
      <c r="R21" s="376">
        <v>18</v>
      </c>
      <c r="S21" s="376"/>
      <c r="T21" s="318"/>
      <c r="U21" s="385"/>
      <c r="V21" s="269"/>
      <c r="W21" s="442"/>
      <c r="X21" s="273"/>
      <c r="Y21" s="260"/>
      <c r="Z21" s="261">
        <v>14</v>
      </c>
      <c r="AA21" s="370">
        <v>1</v>
      </c>
      <c r="AB21" s="260"/>
      <c r="AC21" s="189"/>
      <c r="AD21" s="189"/>
      <c r="AE21" s="189">
        <v>1</v>
      </c>
      <c r="AF21" s="189"/>
      <c r="AG21" s="190"/>
      <c r="AH21" s="189"/>
      <c r="AI21" s="189"/>
      <c r="AJ21" s="189"/>
      <c r="AK21" s="191">
        <f>VLOOKUP(N21,Gapok!$B$5:$I$94,6,0)</f>
        <v>900000</v>
      </c>
      <c r="AL21" s="191">
        <v>990000</v>
      </c>
      <c r="AM21" s="191">
        <f>IF(R21+S21&gt;=Q21,VLOOKUP(N21,Gapok!$B$5:$I$94,8,0),VLOOKUP('PER UNIT'!N21,Gapok!$B$5:$I$94,7,0)*('PER UNIT'!R21+'PER UNIT'!S21))</f>
        <v>375000</v>
      </c>
      <c r="AN21" s="191">
        <f>VLOOKUP(P21,'TJ. FUNGSIONAL'!$B$4:$E$34,4,0)</f>
        <v>300000</v>
      </c>
      <c r="AO21" s="192">
        <f t="shared" si="16"/>
        <v>500000</v>
      </c>
      <c r="AP21" s="193">
        <v>35000</v>
      </c>
      <c r="AQ21" s="194">
        <f t="shared" si="26"/>
        <v>0</v>
      </c>
      <c r="AR21" s="195">
        <f t="shared" si="23"/>
        <v>470000</v>
      </c>
      <c r="AS21" s="195">
        <f t="shared" si="17"/>
        <v>0</v>
      </c>
      <c r="AT21" s="196"/>
      <c r="AU21" s="96">
        <v>685000</v>
      </c>
      <c r="AV21" s="96">
        <v>1000000</v>
      </c>
      <c r="AW21" s="96">
        <v>1500000</v>
      </c>
      <c r="AX21" s="96"/>
      <c r="AY21" s="96"/>
      <c r="AZ21" s="96"/>
      <c r="BA21" s="96"/>
      <c r="BB21" s="96"/>
      <c r="BC21" s="96">
        <v>84800</v>
      </c>
      <c r="BD21" s="197">
        <f t="shared" si="24"/>
        <v>6839800</v>
      </c>
      <c r="BE21" s="198">
        <f t="shared" si="18"/>
        <v>0</v>
      </c>
      <c r="BF21" s="195">
        <f t="shared" si="19"/>
        <v>0</v>
      </c>
      <c r="BG21" s="195">
        <f t="shared" si="20"/>
        <v>175000</v>
      </c>
      <c r="BH21" s="195">
        <v>35000</v>
      </c>
      <c r="BI21" s="195">
        <v>0</v>
      </c>
      <c r="BJ21" s="195"/>
      <c r="BK21" s="107">
        <v>40000</v>
      </c>
      <c r="BL21" s="107">
        <f t="shared" si="21"/>
        <v>3185000</v>
      </c>
      <c r="BM21" s="96"/>
      <c r="BN21" s="96">
        <v>84800</v>
      </c>
      <c r="BO21" s="311"/>
      <c r="BP21" s="309">
        <f t="shared" ref="BP21" si="27">SUM(BE21:BO21)</f>
        <v>3519800</v>
      </c>
      <c r="BQ21" s="107">
        <v>500000</v>
      </c>
      <c r="BR21" s="196" t="s">
        <v>980</v>
      </c>
      <c r="BS21" s="200">
        <f t="shared" si="22"/>
        <v>3820000</v>
      </c>
      <c r="BT21" s="201">
        <v>7106921207</v>
      </c>
    </row>
    <row r="22" spans="1:73" x14ac:dyDescent="0.45">
      <c r="A22" s="182">
        <v>16</v>
      </c>
      <c r="B22" s="252" t="s">
        <v>166</v>
      </c>
      <c r="C22" s="240" t="s">
        <v>1016</v>
      </c>
      <c r="D22" s="202" t="s">
        <v>920</v>
      </c>
      <c r="E22" s="203" t="s">
        <v>81</v>
      </c>
      <c r="F22" s="204" t="s">
        <v>841</v>
      </c>
      <c r="G22" s="278" t="s">
        <v>727</v>
      </c>
      <c r="H22" s="186" t="s">
        <v>842</v>
      </c>
      <c r="I22" s="362">
        <v>8</v>
      </c>
      <c r="J22" s="187" t="s">
        <v>72</v>
      </c>
      <c r="K22" s="187" t="s">
        <v>73</v>
      </c>
      <c r="L22" s="187" t="s">
        <v>84</v>
      </c>
      <c r="M22" s="145" t="s">
        <v>120</v>
      </c>
      <c r="N22" s="205" t="s">
        <v>152</v>
      </c>
      <c r="O22" s="340" t="str">
        <f>VLOOKUP(P22,'TJ. FUNGSIONAL'!$B$4:$C$34,2,0)</f>
        <v>Wakil Kepala SD</v>
      </c>
      <c r="P22" s="362" t="s">
        <v>114</v>
      </c>
      <c r="Q22" s="376">
        <v>18</v>
      </c>
      <c r="R22" s="376">
        <v>18</v>
      </c>
      <c r="S22" s="376"/>
      <c r="T22" s="370"/>
      <c r="U22" s="385"/>
      <c r="V22" s="292"/>
      <c r="W22" s="442">
        <v>2</v>
      </c>
      <c r="X22" s="265"/>
      <c r="Y22" s="263"/>
      <c r="Z22" s="261"/>
      <c r="AA22" s="370"/>
      <c r="AB22" s="263"/>
      <c r="AC22" s="263"/>
      <c r="AD22" s="263"/>
      <c r="AE22" s="263"/>
      <c r="AF22" s="263"/>
      <c r="AG22" s="263"/>
      <c r="AH22" s="263"/>
      <c r="AI22" s="263">
        <v>2</v>
      </c>
      <c r="AJ22" s="189"/>
      <c r="AK22" s="191">
        <f>VLOOKUP(N22,Gapok!$B$5:$I$94,6,0)</f>
        <v>1925000</v>
      </c>
      <c r="AL22" s="191">
        <f>VLOOKUP(P22,'TJ. FUNGSIONAL'!$B$4:$F$34,5,0)</f>
        <v>1700000</v>
      </c>
      <c r="AM22" s="191">
        <f>IF(R22+S22&gt;=Q22,VLOOKUP(N22,Gapok!$B$5:$I$94,8,0),VLOOKUP('PER UNIT'!N22,Gapok!$B$5:$I$94,7,0)*('PER UNIT'!R22+'PER UNIT'!S22))</f>
        <v>475000</v>
      </c>
      <c r="AN22" s="191">
        <f>VLOOKUP(P22,'TJ. FUNGSIONAL'!$B$4:$E$34,4,0)</f>
        <v>500000</v>
      </c>
      <c r="AO22" s="192">
        <f t="shared" si="16"/>
        <v>400000</v>
      </c>
      <c r="AP22" s="193">
        <v>35000</v>
      </c>
      <c r="AQ22" s="194">
        <f t="shared" si="26"/>
        <v>150000</v>
      </c>
      <c r="AR22" s="195">
        <f t="shared" si="23"/>
        <v>0</v>
      </c>
      <c r="AS22" s="195">
        <f t="shared" si="17"/>
        <v>0</v>
      </c>
      <c r="AT22" s="195"/>
      <c r="AU22" s="96"/>
      <c r="AV22" s="96"/>
      <c r="AW22" s="96"/>
      <c r="AX22" s="96"/>
      <c r="AY22" s="96"/>
      <c r="AZ22" s="96"/>
      <c r="BA22" s="96"/>
      <c r="BB22" s="96">
        <v>975000</v>
      </c>
      <c r="BC22" s="96">
        <v>84800</v>
      </c>
      <c r="BD22" s="197">
        <f t="shared" si="24"/>
        <v>6244800</v>
      </c>
      <c r="BE22" s="198">
        <f t="shared" si="18"/>
        <v>0</v>
      </c>
      <c r="BF22" s="195">
        <f t="shared" si="19"/>
        <v>0</v>
      </c>
      <c r="BG22" s="195">
        <f t="shared" si="20"/>
        <v>0</v>
      </c>
      <c r="BH22" s="195">
        <v>35000</v>
      </c>
      <c r="BI22" s="195">
        <v>0</v>
      </c>
      <c r="BJ22" s="195"/>
      <c r="BK22" s="107">
        <v>40000</v>
      </c>
      <c r="BL22" s="107">
        <f t="shared" si="21"/>
        <v>0</v>
      </c>
      <c r="BM22" s="96">
        <v>975000</v>
      </c>
      <c r="BN22" s="96">
        <v>84800</v>
      </c>
      <c r="BO22" s="311"/>
      <c r="BP22" s="309">
        <f t="shared" si="25"/>
        <v>1134800</v>
      </c>
      <c r="BQ22" s="199"/>
      <c r="BR22" s="196"/>
      <c r="BS22" s="200">
        <f t="shared" si="22"/>
        <v>5110000</v>
      </c>
      <c r="BT22" s="201">
        <v>7106921363</v>
      </c>
    </row>
    <row r="23" spans="1:73" x14ac:dyDescent="0.45">
      <c r="A23" s="182">
        <v>17</v>
      </c>
      <c r="B23" s="252" t="s">
        <v>172</v>
      </c>
      <c r="C23" s="240" t="s">
        <v>1017</v>
      </c>
      <c r="D23" s="210" t="s">
        <v>921</v>
      </c>
      <c r="E23" s="211" t="s">
        <v>81</v>
      </c>
      <c r="F23" s="212" t="s">
        <v>843</v>
      </c>
      <c r="G23" s="278" t="s">
        <v>727</v>
      </c>
      <c r="H23" s="213" t="s">
        <v>844</v>
      </c>
      <c r="I23" s="363">
        <v>8</v>
      </c>
      <c r="J23" s="214" t="s">
        <v>72</v>
      </c>
      <c r="K23" s="214" t="s">
        <v>73</v>
      </c>
      <c r="L23" s="214" t="s">
        <v>84</v>
      </c>
      <c r="M23" s="214" t="s">
        <v>120</v>
      </c>
      <c r="N23" s="215" t="s">
        <v>152</v>
      </c>
      <c r="O23" s="340" t="str">
        <f>VLOOKUP(P23,'TJ. FUNGSIONAL'!$B$4:$C$34,2,0)</f>
        <v>Wakil Kepala SD</v>
      </c>
      <c r="P23" s="363" t="s">
        <v>114</v>
      </c>
      <c r="Q23" s="376">
        <v>18</v>
      </c>
      <c r="R23" s="376">
        <v>12</v>
      </c>
      <c r="S23" s="376">
        <v>6</v>
      </c>
      <c r="T23" s="370"/>
      <c r="U23" s="385"/>
      <c r="V23" s="292"/>
      <c r="W23" s="442">
        <v>2</v>
      </c>
      <c r="X23" s="265"/>
      <c r="Y23" s="263"/>
      <c r="Z23" s="261"/>
      <c r="AA23" s="337"/>
      <c r="AB23" s="263"/>
      <c r="AC23" s="263"/>
      <c r="AD23" s="263"/>
      <c r="AE23" s="189">
        <v>1</v>
      </c>
      <c r="AF23" s="263"/>
      <c r="AG23" s="263"/>
      <c r="AH23" s="263"/>
      <c r="AI23" s="263"/>
      <c r="AJ23" s="216"/>
      <c r="AK23" s="191">
        <f>VLOOKUP(N23,Gapok!$B$5:$I$94,6,0)</f>
        <v>1925000</v>
      </c>
      <c r="AL23" s="191">
        <f>VLOOKUP(P23,'TJ. FUNGSIONAL'!$B$4:$F$34,5,0)</f>
        <v>1700000</v>
      </c>
      <c r="AM23" s="191">
        <f>IF(R23+S23&gt;=Q23,VLOOKUP(N23,Gapok!$B$5:$I$94,8,0),VLOOKUP('PER UNIT'!N23,Gapok!$B$5:$I$94,7,0)*('PER UNIT'!R23+'PER UNIT'!S23))</f>
        <v>475000</v>
      </c>
      <c r="AN23" s="191">
        <f>VLOOKUP(P23,'TJ. FUNGSIONAL'!$B$4:$E$34,4,0)</f>
        <v>500000</v>
      </c>
      <c r="AO23" s="192">
        <f t="shared" si="16"/>
        <v>400000</v>
      </c>
      <c r="AP23" s="193">
        <v>105000</v>
      </c>
      <c r="AQ23" s="194">
        <f t="shared" si="26"/>
        <v>50000</v>
      </c>
      <c r="AR23" s="195">
        <f t="shared" si="23"/>
        <v>0</v>
      </c>
      <c r="AS23" s="195">
        <f t="shared" si="17"/>
        <v>0</v>
      </c>
      <c r="AT23" s="195"/>
      <c r="AU23" s="96">
        <v>685000</v>
      </c>
      <c r="AV23" s="96"/>
      <c r="AW23" s="96"/>
      <c r="AX23" s="96"/>
      <c r="AY23" s="96"/>
      <c r="AZ23" s="96"/>
      <c r="BA23" s="96"/>
      <c r="BB23" s="96">
        <v>975000</v>
      </c>
      <c r="BC23" s="96">
        <v>84800</v>
      </c>
      <c r="BD23" s="197">
        <f t="shared" si="24"/>
        <v>6899800</v>
      </c>
      <c r="BE23" s="198">
        <f t="shared" si="18"/>
        <v>0</v>
      </c>
      <c r="BF23" s="195">
        <f t="shared" si="19"/>
        <v>45000</v>
      </c>
      <c r="BG23" s="195">
        <f t="shared" si="20"/>
        <v>175000</v>
      </c>
      <c r="BH23" s="195">
        <v>105000</v>
      </c>
      <c r="BI23" s="195">
        <v>0</v>
      </c>
      <c r="BJ23" s="195"/>
      <c r="BK23" s="107">
        <v>40000</v>
      </c>
      <c r="BL23" s="107">
        <f t="shared" si="21"/>
        <v>685000</v>
      </c>
      <c r="BM23" s="96">
        <v>975000</v>
      </c>
      <c r="BN23" s="96">
        <v>84800</v>
      </c>
      <c r="BO23" s="311"/>
      <c r="BP23" s="309">
        <f t="shared" si="25"/>
        <v>2109800</v>
      </c>
      <c r="BQ23" s="199"/>
      <c r="BR23" s="196"/>
      <c r="BS23" s="200">
        <f t="shared" si="22"/>
        <v>4790000</v>
      </c>
      <c r="BT23" s="201">
        <v>7106921266</v>
      </c>
    </row>
    <row r="24" spans="1:73" x14ac:dyDescent="0.45">
      <c r="A24" s="182">
        <v>18</v>
      </c>
      <c r="B24" s="252" t="s">
        <v>178</v>
      </c>
      <c r="C24" s="240" t="s">
        <v>1018</v>
      </c>
      <c r="D24" s="202" t="s">
        <v>922</v>
      </c>
      <c r="E24" s="203" t="s">
        <v>81</v>
      </c>
      <c r="F24" s="185" t="s">
        <v>845</v>
      </c>
      <c r="G24" s="278" t="s">
        <v>727</v>
      </c>
      <c r="H24" s="186" t="s">
        <v>846</v>
      </c>
      <c r="I24" s="340">
        <v>8</v>
      </c>
      <c r="J24" s="187" t="s">
        <v>72</v>
      </c>
      <c r="K24" s="145" t="s">
        <v>83</v>
      </c>
      <c r="L24" s="145" t="s">
        <v>84</v>
      </c>
      <c r="M24" s="145" t="s">
        <v>92</v>
      </c>
      <c r="N24" s="188" t="s">
        <v>143</v>
      </c>
      <c r="O24" s="340" t="str">
        <f>VLOOKUP(P24,'TJ. FUNGSIONAL'!$B$4:$C$34,2,0)</f>
        <v>Wali Kelas SD</v>
      </c>
      <c r="P24" s="340" t="s">
        <v>158</v>
      </c>
      <c r="Q24" s="376">
        <v>18</v>
      </c>
      <c r="R24" s="376">
        <v>13</v>
      </c>
      <c r="S24" s="376">
        <v>5</v>
      </c>
      <c r="T24" s="370"/>
      <c r="U24" s="385"/>
      <c r="V24" s="292"/>
      <c r="W24" s="442">
        <v>2</v>
      </c>
      <c r="X24" s="265"/>
      <c r="Y24" s="263"/>
      <c r="Z24" s="261"/>
      <c r="AA24" s="337"/>
      <c r="AB24" s="263"/>
      <c r="AC24" s="263"/>
      <c r="AD24" s="263"/>
      <c r="AE24" s="189">
        <v>2</v>
      </c>
      <c r="AF24" s="263"/>
      <c r="AG24" s="263"/>
      <c r="AH24" s="263"/>
      <c r="AI24" s="263"/>
      <c r="AJ24" s="189"/>
      <c r="AK24" s="191">
        <f>VLOOKUP(N24,Gapok!$B$5:$I$94,6,0)</f>
        <v>1350000</v>
      </c>
      <c r="AL24" s="191">
        <f>VLOOKUP(P24,'TJ. FUNGSIONAL'!$B$4:$F$34,5,0)</f>
        <v>1200000</v>
      </c>
      <c r="AM24" s="191">
        <f>IF(R24+S24&gt;=Q24,VLOOKUP(N24,Gapok!$B$5:$I$94,8,0),VLOOKUP('PER UNIT'!N24,Gapok!$B$5:$I$94,7,0)*('PER UNIT'!R24+'PER UNIT'!S24))</f>
        <v>425000</v>
      </c>
      <c r="AN24" s="191">
        <f>VLOOKUP(P24,'TJ. FUNGSIONAL'!$B$4:$E$34,4,0)</f>
        <v>300000</v>
      </c>
      <c r="AO24" s="192">
        <f t="shared" si="16"/>
        <v>400000</v>
      </c>
      <c r="AP24" s="193">
        <v>35000</v>
      </c>
      <c r="AQ24" s="194">
        <f t="shared" si="26"/>
        <v>50000</v>
      </c>
      <c r="AR24" s="195">
        <f t="shared" si="23"/>
        <v>0</v>
      </c>
      <c r="AS24" s="195">
        <f t="shared" si="17"/>
        <v>0</v>
      </c>
      <c r="AT24" s="195"/>
      <c r="AU24" s="96">
        <v>1370000</v>
      </c>
      <c r="AV24" s="96">
        <v>1000000</v>
      </c>
      <c r="AW24" s="96"/>
      <c r="AX24" s="96"/>
      <c r="AY24" s="96"/>
      <c r="AZ24" s="96"/>
      <c r="BA24" s="96"/>
      <c r="BB24" s="96">
        <v>975000</v>
      </c>
      <c r="BC24" s="96">
        <v>84800</v>
      </c>
      <c r="BD24" s="197">
        <f t="shared" si="24"/>
        <v>7189800</v>
      </c>
      <c r="BE24" s="198">
        <f t="shared" si="18"/>
        <v>0</v>
      </c>
      <c r="BF24" s="195">
        <f t="shared" si="19"/>
        <v>37500</v>
      </c>
      <c r="BG24" s="195">
        <f t="shared" si="20"/>
        <v>350000</v>
      </c>
      <c r="BH24" s="195">
        <v>35000</v>
      </c>
      <c r="BI24" s="195">
        <v>0</v>
      </c>
      <c r="BJ24" s="195"/>
      <c r="BK24" s="107">
        <v>40000</v>
      </c>
      <c r="BL24" s="107">
        <f t="shared" si="21"/>
        <v>2370000</v>
      </c>
      <c r="BM24" s="96">
        <v>975000</v>
      </c>
      <c r="BN24" s="96">
        <v>84800</v>
      </c>
      <c r="BO24" s="311"/>
      <c r="BP24" s="309">
        <f t="shared" si="25"/>
        <v>3892300</v>
      </c>
      <c r="BQ24" s="199"/>
      <c r="BR24" s="196"/>
      <c r="BS24" s="200">
        <f t="shared" si="22"/>
        <v>3297500</v>
      </c>
      <c r="BT24" s="201">
        <v>7112592932</v>
      </c>
    </row>
    <row r="25" spans="1:73" x14ac:dyDescent="0.45">
      <c r="A25" s="182">
        <v>19</v>
      </c>
      <c r="B25" s="252" t="s">
        <v>185</v>
      </c>
      <c r="C25" s="240" t="s">
        <v>1019</v>
      </c>
      <c r="D25" s="202" t="s">
        <v>923</v>
      </c>
      <c r="E25" s="217" t="s">
        <v>81</v>
      </c>
      <c r="F25" s="185" t="s">
        <v>847</v>
      </c>
      <c r="G25" s="278" t="s">
        <v>727</v>
      </c>
      <c r="H25" s="186" t="s">
        <v>848</v>
      </c>
      <c r="I25" s="340">
        <v>8</v>
      </c>
      <c r="J25" s="187" t="s">
        <v>72</v>
      </c>
      <c r="K25" s="145" t="s">
        <v>164</v>
      </c>
      <c r="L25" s="145" t="s">
        <v>74</v>
      </c>
      <c r="M25" s="145" t="s">
        <v>75</v>
      </c>
      <c r="N25" s="188" t="s">
        <v>76</v>
      </c>
      <c r="O25" s="340" t="str">
        <f>VLOOKUP(P25,'TJ. FUNGSIONAL'!$B$4:$C$34,2,0)</f>
        <v>Petugas Kebersihan</v>
      </c>
      <c r="P25" s="340" t="s">
        <v>165</v>
      </c>
      <c r="Q25" s="376">
        <v>21</v>
      </c>
      <c r="R25" s="376">
        <v>21</v>
      </c>
      <c r="S25" s="376"/>
      <c r="T25" s="370"/>
      <c r="U25" s="385"/>
      <c r="V25" s="254"/>
      <c r="W25" s="442"/>
      <c r="X25" s="265"/>
      <c r="Y25" s="263"/>
      <c r="Z25" s="261"/>
      <c r="AA25" s="370"/>
      <c r="AB25" s="263"/>
      <c r="AC25" s="263"/>
      <c r="AD25" s="263"/>
      <c r="AE25" s="263"/>
      <c r="AF25" s="263"/>
      <c r="AG25" s="263"/>
      <c r="AH25" s="263"/>
      <c r="AI25" s="263"/>
      <c r="AJ25" s="189"/>
      <c r="AK25" s="191">
        <f>VLOOKUP(N25,Gapok!$B$5:$I$94,6,0)</f>
        <v>900000</v>
      </c>
      <c r="AL25" s="191">
        <f>VLOOKUP(P25,'TJ. FUNGSIONAL'!$B$4:$F$34,5,0)</f>
        <v>400000</v>
      </c>
      <c r="AM25" s="191">
        <f>IF(R25+S25&gt;=Q25,VLOOKUP(N25,Gapok!$B$5:$I$94,8,0),VLOOKUP('PER UNIT'!N25,Gapok!$B$5:$I$94,7,0)*('PER UNIT'!R25+'PER UNIT'!S25))</f>
        <v>375000</v>
      </c>
      <c r="AN25" s="191">
        <f>VLOOKUP(P25,'TJ. FUNGSIONAL'!$B$4:$E$34,4,0)</f>
        <v>300000</v>
      </c>
      <c r="AO25" s="192">
        <f t="shared" si="16"/>
        <v>400000</v>
      </c>
      <c r="AP25" s="193">
        <v>35000</v>
      </c>
      <c r="AQ25" s="194">
        <f t="shared" si="26"/>
        <v>0</v>
      </c>
      <c r="AR25" s="195">
        <f t="shared" si="23"/>
        <v>0</v>
      </c>
      <c r="AS25" s="195">
        <f t="shared" si="17"/>
        <v>0</v>
      </c>
      <c r="AT25" s="195"/>
      <c r="AU25" s="96"/>
      <c r="AV25" s="96"/>
      <c r="AW25" s="96"/>
      <c r="AX25" s="96"/>
      <c r="AY25" s="96"/>
      <c r="AZ25" s="96"/>
      <c r="BA25" s="96"/>
      <c r="BB25" s="96"/>
      <c r="BC25" s="96"/>
      <c r="BD25" s="197">
        <f t="shared" si="24"/>
        <v>2410000</v>
      </c>
      <c r="BE25" s="198">
        <f t="shared" si="18"/>
        <v>0</v>
      </c>
      <c r="BF25" s="195">
        <f t="shared" si="19"/>
        <v>0</v>
      </c>
      <c r="BG25" s="195">
        <f t="shared" si="20"/>
        <v>0</v>
      </c>
      <c r="BH25" s="195">
        <v>0</v>
      </c>
      <c r="BI25" s="195">
        <v>0</v>
      </c>
      <c r="BJ25" s="195"/>
      <c r="BK25" s="107"/>
      <c r="BL25" s="107">
        <f t="shared" si="21"/>
        <v>0</v>
      </c>
      <c r="BM25" s="96"/>
      <c r="BN25" s="96"/>
      <c r="BO25" s="311"/>
      <c r="BP25" s="309">
        <f t="shared" si="25"/>
        <v>0</v>
      </c>
      <c r="BQ25" s="199"/>
      <c r="BR25" s="196"/>
      <c r="BS25" s="200">
        <f t="shared" si="22"/>
        <v>2410000</v>
      </c>
      <c r="BT25" s="201">
        <v>7111989437</v>
      </c>
    </row>
    <row r="26" spans="1:73" x14ac:dyDescent="0.45">
      <c r="A26" s="182">
        <v>20</v>
      </c>
      <c r="B26" s="252" t="s">
        <v>190</v>
      </c>
      <c r="C26" s="240" t="s">
        <v>1020</v>
      </c>
      <c r="D26" s="257" t="s">
        <v>924</v>
      </c>
      <c r="E26" s="217" t="s">
        <v>81</v>
      </c>
      <c r="F26" s="218" t="s">
        <v>849</v>
      </c>
      <c r="G26" s="278" t="s">
        <v>727</v>
      </c>
      <c r="H26" s="186">
        <v>43057</v>
      </c>
      <c r="I26" s="340">
        <v>7</v>
      </c>
      <c r="J26" s="187" t="s">
        <v>72</v>
      </c>
      <c r="K26" s="145" t="s">
        <v>164</v>
      </c>
      <c r="L26" s="145" t="s">
        <v>74</v>
      </c>
      <c r="M26" s="145" t="s">
        <v>75</v>
      </c>
      <c r="N26" s="188" t="s">
        <v>170</v>
      </c>
      <c r="O26" s="340" t="str">
        <f>VLOOKUP(P26,'TJ. FUNGSIONAL'!$B$4:$C$34,2,0)</f>
        <v>Petugas Keamanan</v>
      </c>
      <c r="P26" s="340" t="s">
        <v>171</v>
      </c>
      <c r="Q26" s="432">
        <v>28</v>
      </c>
      <c r="R26" s="376">
        <v>28</v>
      </c>
      <c r="S26" s="376"/>
      <c r="T26" s="370"/>
      <c r="U26" s="385"/>
      <c r="V26" s="254"/>
      <c r="W26" s="442"/>
      <c r="X26" s="265"/>
      <c r="Y26" s="263"/>
      <c r="Z26" s="261"/>
      <c r="AA26" s="449">
        <v>5</v>
      </c>
      <c r="AB26" s="263"/>
      <c r="AC26" s="263"/>
      <c r="AD26" s="263"/>
      <c r="AE26" s="263"/>
      <c r="AF26" s="263">
        <v>21</v>
      </c>
      <c r="AG26" s="263"/>
      <c r="AH26" s="263"/>
      <c r="AI26" s="263"/>
      <c r="AJ26" s="189"/>
      <c r="AK26" s="191">
        <f>VLOOKUP(N26,Gapok!$B$5:$I$94,6,0)</f>
        <v>850000</v>
      </c>
      <c r="AL26" s="191">
        <f>VLOOKUP(P26,'TJ. FUNGSIONAL'!$B$4:$F$34,5,0)</f>
        <v>1200000</v>
      </c>
      <c r="AM26" s="191">
        <f>IF(R26+S26&gt;=Q26,VLOOKUP(N26,Gapok!$B$5:$I$94,8,0),VLOOKUP('PER UNIT'!N26,Gapok!$B$5:$I$94,7,0)*('PER UNIT'!R26+'PER UNIT'!S26))</f>
        <v>375000</v>
      </c>
      <c r="AN26" s="191">
        <f>VLOOKUP(P26,'TJ. FUNGSIONAL'!$B$4:$E$34,4,0)</f>
        <v>300000</v>
      </c>
      <c r="AO26" s="192">
        <f t="shared" si="16"/>
        <v>350000</v>
      </c>
      <c r="AP26" s="219">
        <v>35000</v>
      </c>
      <c r="AQ26" s="194"/>
      <c r="AR26" s="195">
        <f t="shared" si="23"/>
        <v>250000</v>
      </c>
      <c r="AS26" s="195">
        <f t="shared" si="17"/>
        <v>525000</v>
      </c>
      <c r="AT26" s="220"/>
      <c r="AU26" s="96"/>
      <c r="AV26" s="96"/>
      <c r="AW26" s="96"/>
      <c r="AX26" s="96"/>
      <c r="AY26" s="96"/>
      <c r="AZ26" s="96"/>
      <c r="BA26" s="96"/>
      <c r="BB26" s="96"/>
      <c r="BC26" s="96"/>
      <c r="BD26" s="197">
        <f t="shared" si="24"/>
        <v>3885000</v>
      </c>
      <c r="BE26" s="198">
        <f t="shared" si="18"/>
        <v>0</v>
      </c>
      <c r="BF26" s="195">
        <f t="shared" si="19"/>
        <v>0</v>
      </c>
      <c r="BG26" s="195">
        <f t="shared" si="20"/>
        <v>0</v>
      </c>
      <c r="BH26" s="220">
        <v>0</v>
      </c>
      <c r="BI26" s="195">
        <v>0</v>
      </c>
      <c r="BJ26" s="195"/>
      <c r="BK26" s="107"/>
      <c r="BL26" s="107">
        <f t="shared" si="21"/>
        <v>0</v>
      </c>
      <c r="BM26" s="96"/>
      <c r="BN26" s="96"/>
      <c r="BO26" s="311"/>
      <c r="BP26" s="309">
        <f t="shared" si="25"/>
        <v>0</v>
      </c>
      <c r="BQ26" s="199"/>
      <c r="BR26" s="275"/>
      <c r="BS26" s="200">
        <f t="shared" si="22"/>
        <v>3885000</v>
      </c>
      <c r="BT26" s="221">
        <v>7122991487</v>
      </c>
    </row>
    <row r="27" spans="1:73" x14ac:dyDescent="0.45">
      <c r="A27" s="182">
        <v>21</v>
      </c>
      <c r="B27" s="252" t="s">
        <v>195</v>
      </c>
      <c r="C27" s="240" t="s">
        <v>1021</v>
      </c>
      <c r="D27" s="202" t="s">
        <v>925</v>
      </c>
      <c r="E27" s="217" t="s">
        <v>81</v>
      </c>
      <c r="F27" s="185" t="s">
        <v>198</v>
      </c>
      <c r="G27" s="278" t="s">
        <v>727</v>
      </c>
      <c r="H27" s="222" t="s">
        <v>850</v>
      </c>
      <c r="I27" s="340">
        <v>7</v>
      </c>
      <c r="J27" s="187" t="s">
        <v>72</v>
      </c>
      <c r="K27" s="145" t="s">
        <v>73</v>
      </c>
      <c r="L27" s="145" t="s">
        <v>84</v>
      </c>
      <c r="M27" s="145" t="s">
        <v>92</v>
      </c>
      <c r="N27" s="188" t="s">
        <v>106</v>
      </c>
      <c r="O27" s="340" t="str">
        <f>VLOOKUP(P27,'TJ. FUNGSIONAL'!$B$4:$C$34,2,0)</f>
        <v>Wakil Kepala SD</v>
      </c>
      <c r="P27" s="340" t="s">
        <v>189</v>
      </c>
      <c r="Q27" s="376">
        <v>18</v>
      </c>
      <c r="R27" s="376">
        <v>18</v>
      </c>
      <c r="S27" s="376"/>
      <c r="T27" s="370"/>
      <c r="U27" s="385"/>
      <c r="V27" s="292"/>
      <c r="W27" s="442">
        <v>2</v>
      </c>
      <c r="X27" s="265"/>
      <c r="Y27" s="263"/>
      <c r="Z27" s="261"/>
      <c r="AA27" s="370"/>
      <c r="AB27" s="263"/>
      <c r="AC27" s="263"/>
      <c r="AD27" s="263"/>
      <c r="AE27" s="263"/>
      <c r="AF27" s="263"/>
      <c r="AG27" s="263"/>
      <c r="AH27" s="442">
        <v>2</v>
      </c>
      <c r="AI27" s="263"/>
      <c r="AJ27" s="189"/>
      <c r="AK27" s="191">
        <f>VLOOKUP(N27,Gapok!$B$5:$I$94,6,0)</f>
        <v>1450000</v>
      </c>
      <c r="AL27" s="191">
        <f>VLOOKUP(P27,'TJ. FUNGSIONAL'!$B$4:$F$34,5,0)</f>
        <v>1500000</v>
      </c>
      <c r="AM27" s="191">
        <f>IF(R27+S27&gt;=Q27,VLOOKUP(N27,Gapok!$B$5:$I$94,8,0),VLOOKUP('PER UNIT'!N27,Gapok!$B$5:$I$94,7,0)*('PER UNIT'!R27+'PER UNIT'!S27))</f>
        <v>425000</v>
      </c>
      <c r="AN27" s="191">
        <f>VLOOKUP(P27,'TJ. FUNGSIONAL'!$B$4:$E$34,4,0)</f>
        <v>400000</v>
      </c>
      <c r="AO27" s="192">
        <f t="shared" si="16"/>
        <v>350000</v>
      </c>
      <c r="AP27" s="193">
        <v>70000</v>
      </c>
      <c r="AQ27" s="194">
        <v>250000</v>
      </c>
      <c r="AR27" s="195">
        <f t="shared" si="23"/>
        <v>0</v>
      </c>
      <c r="AS27" s="195">
        <f t="shared" si="17"/>
        <v>0</v>
      </c>
      <c r="AT27" s="195"/>
      <c r="AU27" s="96"/>
      <c r="AV27" s="96"/>
      <c r="AW27" s="96"/>
      <c r="AX27" s="96"/>
      <c r="AY27" s="96"/>
      <c r="AZ27" s="96"/>
      <c r="BA27" s="96"/>
      <c r="BB27" s="96">
        <v>975000</v>
      </c>
      <c r="BC27" s="96">
        <v>84800</v>
      </c>
      <c r="BD27" s="197">
        <f t="shared" si="24"/>
        <v>5504800</v>
      </c>
      <c r="BE27" s="198">
        <f t="shared" si="18"/>
        <v>0</v>
      </c>
      <c r="BF27" s="195">
        <f t="shared" si="19"/>
        <v>0</v>
      </c>
      <c r="BG27" s="195">
        <f t="shared" si="20"/>
        <v>0</v>
      </c>
      <c r="BH27" s="195">
        <v>70000</v>
      </c>
      <c r="BI27" s="207">
        <v>500000</v>
      </c>
      <c r="BJ27" s="195"/>
      <c r="BK27" s="107">
        <v>40000</v>
      </c>
      <c r="BL27" s="107">
        <f t="shared" si="21"/>
        <v>0</v>
      </c>
      <c r="BM27" s="96">
        <v>975000</v>
      </c>
      <c r="BN27" s="96">
        <v>84800</v>
      </c>
      <c r="BO27" s="311"/>
      <c r="BP27" s="309">
        <f t="shared" si="25"/>
        <v>1669800</v>
      </c>
      <c r="BQ27" s="199"/>
      <c r="BR27" s="196"/>
      <c r="BS27" s="200">
        <f t="shared" si="22"/>
        <v>3835000</v>
      </c>
      <c r="BT27" s="223">
        <v>7122990488</v>
      </c>
    </row>
    <row r="28" spans="1:73" x14ac:dyDescent="0.45">
      <c r="A28" s="182">
        <v>22</v>
      </c>
      <c r="B28" s="252" t="s">
        <v>199</v>
      </c>
      <c r="C28" s="240" t="s">
        <v>1022</v>
      </c>
      <c r="D28" s="202" t="s">
        <v>926</v>
      </c>
      <c r="E28" s="217" t="s">
        <v>81</v>
      </c>
      <c r="F28" s="185" t="s">
        <v>220</v>
      </c>
      <c r="G28" s="278" t="s">
        <v>727</v>
      </c>
      <c r="H28" s="186" t="s">
        <v>221</v>
      </c>
      <c r="I28" s="340">
        <v>5</v>
      </c>
      <c r="J28" s="187" t="s">
        <v>72</v>
      </c>
      <c r="K28" s="145" t="s">
        <v>73</v>
      </c>
      <c r="L28" s="145" t="s">
        <v>84</v>
      </c>
      <c r="M28" s="145" t="s">
        <v>92</v>
      </c>
      <c r="N28" s="188" t="s">
        <v>143</v>
      </c>
      <c r="O28" s="340" t="str">
        <f>VLOOKUP(P28,'TJ. FUNGSIONAL'!$B$4:$C$34,2,0)</f>
        <v>Wakil Kepala SD</v>
      </c>
      <c r="P28" s="340" t="s">
        <v>189</v>
      </c>
      <c r="Q28" s="376">
        <v>18</v>
      </c>
      <c r="R28" s="376">
        <v>18</v>
      </c>
      <c r="S28" s="376"/>
      <c r="T28" s="370"/>
      <c r="U28" s="385"/>
      <c r="V28" s="292"/>
      <c r="W28" s="442">
        <v>2</v>
      </c>
      <c r="X28" s="265"/>
      <c r="Y28" s="263"/>
      <c r="Z28" s="261"/>
      <c r="AA28" s="370"/>
      <c r="AB28" s="263"/>
      <c r="AC28" s="263"/>
      <c r="AD28" s="263"/>
      <c r="AE28" s="263"/>
      <c r="AF28" s="263"/>
      <c r="AG28" s="263"/>
      <c r="AH28" s="292"/>
      <c r="AI28" s="263"/>
      <c r="AJ28" s="189"/>
      <c r="AK28" s="191">
        <f>VLOOKUP(N28,Gapok!$B$5:$I$94,6,0)</f>
        <v>1350000</v>
      </c>
      <c r="AL28" s="191">
        <f>VLOOKUP(P28,'TJ. FUNGSIONAL'!$B$4:$F$34,5,0)</f>
        <v>1500000</v>
      </c>
      <c r="AM28" s="191">
        <f>IF(R28+S28&gt;=Q28,VLOOKUP(N28,Gapok!$B$5:$I$94,8,0),VLOOKUP('PER UNIT'!N28,Gapok!$B$5:$I$94,7,0)*('PER UNIT'!R28+'PER UNIT'!S28))</f>
        <v>425000</v>
      </c>
      <c r="AN28" s="191">
        <f>VLOOKUP(P28,'TJ. FUNGSIONAL'!$B$4:$E$34,4,0)</f>
        <v>400000</v>
      </c>
      <c r="AO28" s="192">
        <f t="shared" si="16"/>
        <v>250000</v>
      </c>
      <c r="AP28" s="193">
        <v>35000</v>
      </c>
      <c r="AQ28" s="194">
        <f t="shared" si="26"/>
        <v>50000</v>
      </c>
      <c r="AR28" s="195">
        <f t="shared" si="23"/>
        <v>0</v>
      </c>
      <c r="AS28" s="195">
        <f t="shared" si="17"/>
        <v>0</v>
      </c>
      <c r="AT28" s="195"/>
      <c r="AU28" s="96"/>
      <c r="AV28" s="96"/>
      <c r="AW28" s="96"/>
      <c r="AX28" s="96"/>
      <c r="AY28" s="96"/>
      <c r="AZ28" s="96"/>
      <c r="BA28" s="96"/>
      <c r="BB28" s="96">
        <v>975000</v>
      </c>
      <c r="BC28" s="96">
        <v>84800</v>
      </c>
      <c r="BD28" s="197">
        <f t="shared" si="24"/>
        <v>5069800</v>
      </c>
      <c r="BE28" s="198">
        <f t="shared" si="18"/>
        <v>0</v>
      </c>
      <c r="BF28" s="195">
        <f t="shared" si="19"/>
        <v>0</v>
      </c>
      <c r="BG28" s="195">
        <f t="shared" si="20"/>
        <v>0</v>
      </c>
      <c r="BH28" s="195">
        <v>35000</v>
      </c>
      <c r="BI28" s="195">
        <v>0</v>
      </c>
      <c r="BJ28" s="195"/>
      <c r="BK28" s="107">
        <v>40000</v>
      </c>
      <c r="BL28" s="107">
        <f t="shared" si="21"/>
        <v>0</v>
      </c>
      <c r="BM28" s="96">
        <v>975000</v>
      </c>
      <c r="BN28" s="96">
        <v>84800</v>
      </c>
      <c r="BO28" s="311"/>
      <c r="BP28" s="309">
        <f t="shared" si="25"/>
        <v>1134800</v>
      </c>
      <c r="BQ28" s="107"/>
      <c r="BR28" s="196"/>
      <c r="BS28" s="200">
        <f t="shared" si="22"/>
        <v>3935000</v>
      </c>
      <c r="BT28" s="224">
        <v>7135663594</v>
      </c>
    </row>
    <row r="29" spans="1:73" x14ac:dyDescent="0.45">
      <c r="A29" s="182">
        <v>23</v>
      </c>
      <c r="B29" s="252" t="s">
        <v>206</v>
      </c>
      <c r="C29" s="240" t="s">
        <v>1023</v>
      </c>
      <c r="D29" s="202" t="s">
        <v>927</v>
      </c>
      <c r="E29" s="217" t="s">
        <v>81</v>
      </c>
      <c r="F29" s="185" t="s">
        <v>225</v>
      </c>
      <c r="G29" s="278" t="s">
        <v>727</v>
      </c>
      <c r="H29" s="186" t="s">
        <v>221</v>
      </c>
      <c r="I29" s="340">
        <v>5</v>
      </c>
      <c r="J29" s="187" t="s">
        <v>72</v>
      </c>
      <c r="K29" s="145" t="s">
        <v>73</v>
      </c>
      <c r="L29" s="145" t="s">
        <v>84</v>
      </c>
      <c r="M29" s="145" t="s">
        <v>112</v>
      </c>
      <c r="N29" s="188" t="s">
        <v>143</v>
      </c>
      <c r="O29" s="340" t="str">
        <f>VLOOKUP(P29,'TJ. FUNGSIONAL'!$B$4:$C$34,2,0)</f>
        <v>Guru Mapel SD</v>
      </c>
      <c r="P29" s="340" t="s">
        <v>226</v>
      </c>
      <c r="Q29" s="376">
        <v>18</v>
      </c>
      <c r="R29" s="376">
        <v>17</v>
      </c>
      <c r="S29" s="376">
        <v>1</v>
      </c>
      <c r="T29" s="370"/>
      <c r="U29" s="385"/>
      <c r="V29" s="292"/>
      <c r="W29" s="442">
        <v>2</v>
      </c>
      <c r="X29" s="265"/>
      <c r="Y29" s="263"/>
      <c r="Z29" s="261"/>
      <c r="AA29" s="370"/>
      <c r="AB29" s="263"/>
      <c r="AC29" s="263"/>
      <c r="AD29" s="263"/>
      <c r="AE29" s="263"/>
      <c r="AF29" s="263"/>
      <c r="AG29" s="263"/>
      <c r="AH29" s="442">
        <v>2</v>
      </c>
      <c r="AI29" s="263"/>
      <c r="AJ29" s="189"/>
      <c r="AK29" s="191">
        <f>VLOOKUP(N29,Gapok!$B$5:$I$94,6,0)</f>
        <v>1350000</v>
      </c>
      <c r="AL29" s="191">
        <f>VLOOKUP(P29,'TJ. FUNGSIONAL'!$B$4:$F$34,5,0)</f>
        <v>900000</v>
      </c>
      <c r="AM29" s="191">
        <f>IF(R29+S29&gt;=Q29,VLOOKUP(N29,Gapok!$B$5:$I$94,8,0),VLOOKUP('PER UNIT'!N29,Gapok!$B$5:$I$94,7,0)*('PER UNIT'!R29+'PER UNIT'!S29))</f>
        <v>425000</v>
      </c>
      <c r="AN29" s="191">
        <f>VLOOKUP(P29,'TJ. FUNGSIONAL'!$B$4:$E$34,4,0)</f>
        <v>300000</v>
      </c>
      <c r="AO29" s="192">
        <f t="shared" si="16"/>
        <v>250000</v>
      </c>
      <c r="AP29" s="193">
        <v>35000</v>
      </c>
      <c r="AQ29" s="194">
        <f t="shared" si="26"/>
        <v>250000</v>
      </c>
      <c r="AR29" s="195">
        <f t="shared" si="23"/>
        <v>0</v>
      </c>
      <c r="AS29" s="195">
        <f t="shared" si="17"/>
        <v>0</v>
      </c>
      <c r="AT29" s="195"/>
      <c r="AU29" s="96"/>
      <c r="AV29" s="96"/>
      <c r="AW29" s="96"/>
      <c r="AX29" s="96"/>
      <c r="AY29" s="96"/>
      <c r="AZ29" s="96"/>
      <c r="BA29" s="96"/>
      <c r="BB29" s="96">
        <v>975000</v>
      </c>
      <c r="BC29" s="96">
        <v>84800</v>
      </c>
      <c r="BD29" s="197">
        <f t="shared" si="24"/>
        <v>4569800</v>
      </c>
      <c r="BE29" s="198">
        <f t="shared" si="18"/>
        <v>0</v>
      </c>
      <c r="BF29" s="195">
        <f t="shared" si="19"/>
        <v>7500</v>
      </c>
      <c r="BG29" s="195">
        <f t="shared" si="20"/>
        <v>0</v>
      </c>
      <c r="BH29" s="195">
        <v>35000</v>
      </c>
      <c r="BI29" s="195">
        <v>0</v>
      </c>
      <c r="BJ29" s="195"/>
      <c r="BK29" s="107">
        <v>40000</v>
      </c>
      <c r="BL29" s="107">
        <f t="shared" si="21"/>
        <v>0</v>
      </c>
      <c r="BM29" s="96">
        <v>975000</v>
      </c>
      <c r="BN29" s="96">
        <v>84800</v>
      </c>
      <c r="BO29" s="311"/>
      <c r="BP29" s="309">
        <f t="shared" si="25"/>
        <v>1142300</v>
      </c>
      <c r="BQ29" s="199"/>
      <c r="BR29" s="196"/>
      <c r="BS29" s="200">
        <f t="shared" si="22"/>
        <v>3427500</v>
      </c>
      <c r="BT29" s="224">
        <v>7135663705</v>
      </c>
    </row>
    <row r="30" spans="1:73" x14ac:dyDescent="0.45">
      <c r="A30" s="463">
        <v>24</v>
      </c>
      <c r="B30" s="408" t="s">
        <v>211</v>
      </c>
      <c r="C30" s="240" t="s">
        <v>1024</v>
      </c>
      <c r="D30" s="480" t="s">
        <v>928</v>
      </c>
      <c r="E30" s="481" t="s">
        <v>81</v>
      </c>
      <c r="F30" s="482" t="s">
        <v>230</v>
      </c>
      <c r="G30" s="478" t="s">
        <v>727</v>
      </c>
      <c r="H30" s="410" t="s">
        <v>221</v>
      </c>
      <c r="I30" s="411">
        <v>5</v>
      </c>
      <c r="J30" s="483" t="s">
        <v>72</v>
      </c>
      <c r="K30" s="412" t="s">
        <v>73</v>
      </c>
      <c r="L30" s="412" t="s">
        <v>231</v>
      </c>
      <c r="M30" s="412" t="s">
        <v>92</v>
      </c>
      <c r="N30" s="413" t="s">
        <v>93</v>
      </c>
      <c r="O30" s="411" t="str">
        <f>VLOOKUP(P30,'TJ. FUNGSIONAL'!$B$4:$C$34,2,0)</f>
        <v>Wakil Kepala SD</v>
      </c>
      <c r="P30" s="411" t="s">
        <v>189</v>
      </c>
      <c r="Q30" s="414">
        <v>8</v>
      </c>
      <c r="R30" s="414">
        <v>8</v>
      </c>
      <c r="S30" s="414"/>
      <c r="T30" s="484"/>
      <c r="U30" s="484"/>
      <c r="V30" s="415"/>
      <c r="W30" s="415"/>
      <c r="X30" s="416"/>
      <c r="Y30" s="417"/>
      <c r="Z30" s="418"/>
      <c r="AA30" s="484"/>
      <c r="AB30" s="417"/>
      <c r="AC30" s="417"/>
      <c r="AD30" s="417"/>
      <c r="AE30" s="417"/>
      <c r="AF30" s="417"/>
      <c r="AG30" s="417"/>
      <c r="AH30" s="415"/>
      <c r="AI30" s="417"/>
      <c r="AJ30" s="485"/>
      <c r="AK30" s="368">
        <f>VLOOKUP(N30,Gapok!$B$5:$I$94,6,0)</f>
        <v>1650000</v>
      </c>
      <c r="AL30" s="368">
        <f>VLOOKUP(P30,'TJ. FUNGSIONAL'!$B$4:$F$34,5,0)</f>
        <v>1500000</v>
      </c>
      <c r="AM30" s="368">
        <f>8*18000</f>
        <v>144000</v>
      </c>
      <c r="AN30" s="368">
        <f>VLOOKUP(P30,'TJ. FUNGSIONAL'!$B$4:$E$34,4,0)</f>
        <v>400000</v>
      </c>
      <c r="AO30" s="419">
        <f t="shared" si="16"/>
        <v>250000</v>
      </c>
      <c r="AP30" s="420">
        <v>35000</v>
      </c>
      <c r="AQ30" s="421">
        <f t="shared" si="26"/>
        <v>0</v>
      </c>
      <c r="AR30" s="228">
        <f t="shared" si="23"/>
        <v>0</v>
      </c>
      <c r="AS30" s="228">
        <f t="shared" si="17"/>
        <v>0</v>
      </c>
      <c r="AT30" s="228">
        <v>1000000</v>
      </c>
      <c r="AU30" s="422"/>
      <c r="AV30" s="422"/>
      <c r="AW30" s="422"/>
      <c r="AX30" s="422"/>
      <c r="AY30" s="422" t="s">
        <v>947</v>
      </c>
      <c r="AZ30" s="422"/>
      <c r="BA30" s="422"/>
      <c r="BB30" s="422">
        <v>975000</v>
      </c>
      <c r="BC30" s="422">
        <v>84800</v>
      </c>
      <c r="BD30" s="423">
        <f t="shared" si="24"/>
        <v>6038800</v>
      </c>
      <c r="BE30" s="424">
        <f t="shared" si="18"/>
        <v>0</v>
      </c>
      <c r="BF30" s="228">
        <f t="shared" si="19"/>
        <v>0</v>
      </c>
      <c r="BG30" s="228">
        <f t="shared" si="20"/>
        <v>0</v>
      </c>
      <c r="BH30" s="228">
        <v>35000</v>
      </c>
      <c r="BI30" s="228">
        <v>0</v>
      </c>
      <c r="BJ30" s="228"/>
      <c r="BK30" s="425">
        <v>40000</v>
      </c>
      <c r="BL30" s="425">
        <f t="shared" si="21"/>
        <v>0</v>
      </c>
      <c r="BM30" s="422">
        <v>975000</v>
      </c>
      <c r="BN30" s="422">
        <v>84800</v>
      </c>
      <c r="BO30" s="426"/>
      <c r="BP30" s="427">
        <f t="shared" si="25"/>
        <v>1134800</v>
      </c>
      <c r="BQ30" s="428"/>
      <c r="BR30" s="429"/>
      <c r="BS30" s="430">
        <f t="shared" si="22"/>
        <v>4904000</v>
      </c>
      <c r="BT30" s="431">
        <v>7135663675</v>
      </c>
      <c r="BU30" s="486" t="s">
        <v>991</v>
      </c>
    </row>
    <row r="31" spans="1:73" x14ac:dyDescent="0.45">
      <c r="A31" s="182">
        <v>25</v>
      </c>
      <c r="B31" s="252" t="s">
        <v>217</v>
      </c>
      <c r="C31" s="240" t="s">
        <v>1025</v>
      </c>
      <c r="D31" s="210" t="s">
        <v>929</v>
      </c>
      <c r="E31" s="225" t="s">
        <v>81</v>
      </c>
      <c r="F31" s="185" t="s">
        <v>256</v>
      </c>
      <c r="G31" s="278" t="s">
        <v>727</v>
      </c>
      <c r="H31" s="213" t="s">
        <v>252</v>
      </c>
      <c r="I31" s="364">
        <v>5</v>
      </c>
      <c r="J31" s="187" t="s">
        <v>72</v>
      </c>
      <c r="K31" s="226" t="s">
        <v>119</v>
      </c>
      <c r="L31" s="226" t="s">
        <v>231</v>
      </c>
      <c r="M31" s="226" t="s">
        <v>92</v>
      </c>
      <c r="N31" s="227" t="s">
        <v>257</v>
      </c>
      <c r="O31" s="340" t="str">
        <f>VLOOKUP(P31,'TJ. FUNGSIONAL'!$B$4:$C$34,2,0)</f>
        <v>Guru Mapel SD</v>
      </c>
      <c r="P31" s="364" t="s">
        <v>226</v>
      </c>
      <c r="Q31" s="376">
        <v>18</v>
      </c>
      <c r="R31" s="376">
        <v>18</v>
      </c>
      <c r="S31" s="376"/>
      <c r="T31" s="370"/>
      <c r="U31" s="385"/>
      <c r="V31" s="292"/>
      <c r="W31" s="442">
        <v>2</v>
      </c>
      <c r="X31" s="265"/>
      <c r="Y31" s="263"/>
      <c r="Z31" s="261"/>
      <c r="AA31" s="370"/>
      <c r="AB31" s="263"/>
      <c r="AC31" s="263"/>
      <c r="AD31" s="263">
        <v>1</v>
      </c>
      <c r="AE31" s="263"/>
      <c r="AF31" s="263"/>
      <c r="AG31" s="263"/>
      <c r="AH31" s="292"/>
      <c r="AI31" s="263"/>
      <c r="AJ31" s="189"/>
      <c r="AK31" s="191">
        <f>VLOOKUP(N31,Gapok!$B$5:$I$94,6,0)</f>
        <v>1500000</v>
      </c>
      <c r="AL31" s="191">
        <f>VLOOKUP(P31,'TJ. FUNGSIONAL'!$B$4:$F$34,5,0)</f>
        <v>900000</v>
      </c>
      <c r="AM31" s="191">
        <f>IF(R31+S31&gt;=Q31,VLOOKUP(N31,Gapok!$B$5:$I$94,8,0),VLOOKUP('PER UNIT'!N31,Gapok!$B$5:$I$94,7,0)*('PER UNIT'!R31+'PER UNIT'!S31))</f>
        <v>425000</v>
      </c>
      <c r="AN31" s="191">
        <f>VLOOKUP(P31,'TJ. FUNGSIONAL'!$B$4:$E$34,4,0)</f>
        <v>300000</v>
      </c>
      <c r="AO31" s="192">
        <f t="shared" si="16"/>
        <v>250000</v>
      </c>
      <c r="AP31" s="193">
        <v>35000</v>
      </c>
      <c r="AQ31" s="194">
        <f t="shared" si="26"/>
        <v>50000</v>
      </c>
      <c r="AR31" s="195">
        <f t="shared" si="23"/>
        <v>0</v>
      </c>
      <c r="AS31" s="195">
        <f t="shared" ref="AS31:AS53" si="28">25000*AF31</f>
        <v>0</v>
      </c>
      <c r="AT31" s="196"/>
      <c r="AU31" s="96"/>
      <c r="AV31" s="96"/>
      <c r="AW31" s="96"/>
      <c r="AX31" s="96"/>
      <c r="AY31" s="96"/>
      <c r="AZ31" s="96"/>
      <c r="BA31" s="96"/>
      <c r="BB31" s="96">
        <v>975000</v>
      </c>
      <c r="BC31" s="96">
        <v>84800</v>
      </c>
      <c r="BD31" s="197">
        <f t="shared" si="24"/>
        <v>4519800</v>
      </c>
      <c r="BE31" s="198">
        <f t="shared" si="18"/>
        <v>0</v>
      </c>
      <c r="BF31" s="195">
        <f t="shared" ref="BF31:BF56" si="29">7500*S31</f>
        <v>0</v>
      </c>
      <c r="BG31" s="195">
        <f t="shared" si="20"/>
        <v>250000</v>
      </c>
      <c r="BH31" s="195">
        <v>35000</v>
      </c>
      <c r="BI31" s="195">
        <v>0</v>
      </c>
      <c r="BJ31" s="195"/>
      <c r="BK31" s="107">
        <v>40000</v>
      </c>
      <c r="BL31" s="107">
        <f t="shared" si="21"/>
        <v>0</v>
      </c>
      <c r="BM31" s="96">
        <v>975000</v>
      </c>
      <c r="BN31" s="96">
        <v>84800</v>
      </c>
      <c r="BO31" s="311"/>
      <c r="BP31" s="309">
        <f t="shared" si="25"/>
        <v>1384800</v>
      </c>
      <c r="BQ31" s="199"/>
      <c r="BR31" s="196"/>
      <c r="BS31" s="200">
        <f t="shared" si="22"/>
        <v>3135000</v>
      </c>
      <c r="BT31" s="224">
        <v>7139148783</v>
      </c>
    </row>
    <row r="32" spans="1:73" x14ac:dyDescent="0.45">
      <c r="A32" s="182">
        <v>26</v>
      </c>
      <c r="B32" s="252" t="s">
        <v>222</v>
      </c>
      <c r="C32" s="240" t="s">
        <v>1026</v>
      </c>
      <c r="D32" s="202" t="s">
        <v>930</v>
      </c>
      <c r="E32" s="217" t="s">
        <v>81</v>
      </c>
      <c r="F32" s="185" t="s">
        <v>261</v>
      </c>
      <c r="G32" s="278" t="s">
        <v>727</v>
      </c>
      <c r="H32" s="186" t="s">
        <v>262</v>
      </c>
      <c r="I32" s="340">
        <v>5</v>
      </c>
      <c r="J32" s="145" t="s">
        <v>163</v>
      </c>
      <c r="K32" s="145" t="s">
        <v>119</v>
      </c>
      <c r="L32" s="145" t="s">
        <v>84</v>
      </c>
      <c r="M32" s="145" t="s">
        <v>112</v>
      </c>
      <c r="N32" s="188" t="s">
        <v>143</v>
      </c>
      <c r="O32" s="340" t="str">
        <f>VLOOKUP(P32,'TJ. FUNGSIONAL'!$B$4:$C$34,2,0)</f>
        <v>Wali Kelas SD</v>
      </c>
      <c r="P32" s="340" t="s">
        <v>158</v>
      </c>
      <c r="Q32" s="376">
        <v>18</v>
      </c>
      <c r="R32" s="376">
        <v>15</v>
      </c>
      <c r="S32" s="376">
        <v>3</v>
      </c>
      <c r="T32" s="370"/>
      <c r="U32" s="385"/>
      <c r="V32" s="292"/>
      <c r="W32" s="442">
        <v>2</v>
      </c>
      <c r="X32" s="265"/>
      <c r="Y32" s="263"/>
      <c r="Z32" s="261"/>
      <c r="AA32" s="370"/>
      <c r="AB32" s="263"/>
      <c r="AC32" s="263"/>
      <c r="AD32" s="263">
        <v>1</v>
      </c>
      <c r="AE32" s="263"/>
      <c r="AF32" s="263"/>
      <c r="AG32" s="263"/>
      <c r="AH32" s="292"/>
      <c r="AI32" s="263"/>
      <c r="AJ32" s="189"/>
      <c r="AK32" s="191">
        <f>VLOOKUP(N32,Gapok!$B$5:$I$94,6,0)</f>
        <v>1350000</v>
      </c>
      <c r="AL32" s="191">
        <f>VLOOKUP(P32,'TJ. FUNGSIONAL'!$B$4:$F$34,5,0)</f>
        <v>1200000</v>
      </c>
      <c r="AM32" s="191">
        <f>IF(R32+S32&gt;=Q32,VLOOKUP(N32,Gapok!$B$5:$I$94,8,0),VLOOKUP('PER UNIT'!N32,Gapok!$B$5:$I$94,7,0)*('PER UNIT'!R32+'PER UNIT'!S32))</f>
        <v>425000</v>
      </c>
      <c r="AN32" s="191">
        <f>VLOOKUP(P32,'TJ. FUNGSIONAL'!$B$4:$E$34,4,0)</f>
        <v>300000</v>
      </c>
      <c r="AO32" s="192">
        <f t="shared" si="16"/>
        <v>250000</v>
      </c>
      <c r="AP32" s="193">
        <v>35000</v>
      </c>
      <c r="AQ32" s="194">
        <f t="shared" si="26"/>
        <v>50000</v>
      </c>
      <c r="AR32" s="195">
        <f t="shared" si="23"/>
        <v>0</v>
      </c>
      <c r="AS32" s="195">
        <f t="shared" si="28"/>
        <v>0</v>
      </c>
      <c r="AT32" s="196"/>
      <c r="AU32" s="96"/>
      <c r="AV32" s="96"/>
      <c r="AW32" s="96"/>
      <c r="AX32" s="96"/>
      <c r="AY32" s="96"/>
      <c r="AZ32" s="96"/>
      <c r="BA32" s="96"/>
      <c r="BB32" s="96">
        <v>975000</v>
      </c>
      <c r="BC32" s="96"/>
      <c r="BD32" s="197">
        <f t="shared" si="24"/>
        <v>4585000</v>
      </c>
      <c r="BE32" s="198">
        <f t="shared" si="18"/>
        <v>0</v>
      </c>
      <c r="BF32" s="195">
        <f t="shared" si="29"/>
        <v>22500</v>
      </c>
      <c r="BG32" s="195">
        <f t="shared" si="20"/>
        <v>250000</v>
      </c>
      <c r="BH32" s="195">
        <v>35000</v>
      </c>
      <c r="BI32" s="195">
        <v>0</v>
      </c>
      <c r="BJ32" s="195"/>
      <c r="BK32" s="107"/>
      <c r="BL32" s="107">
        <f t="shared" si="21"/>
        <v>0</v>
      </c>
      <c r="BM32" s="96">
        <v>975000</v>
      </c>
      <c r="BN32" s="107"/>
      <c r="BO32" s="311"/>
      <c r="BP32" s="309">
        <f t="shared" si="25"/>
        <v>1282500</v>
      </c>
      <c r="BQ32" s="199"/>
      <c r="BR32" s="196"/>
      <c r="BS32" s="200">
        <f t="shared" si="22"/>
        <v>3302500</v>
      </c>
      <c r="BT32" s="224">
        <v>7139148805</v>
      </c>
    </row>
    <row r="33" spans="1:1017" x14ac:dyDescent="0.45">
      <c r="A33" s="182">
        <v>27</v>
      </c>
      <c r="B33" s="252" t="s">
        <v>227</v>
      </c>
      <c r="C33" s="240" t="s">
        <v>1027</v>
      </c>
      <c r="D33" s="202" t="s">
        <v>931</v>
      </c>
      <c r="E33" s="217" t="s">
        <v>81</v>
      </c>
      <c r="F33" s="185" t="s">
        <v>267</v>
      </c>
      <c r="G33" s="278" t="s">
        <v>727</v>
      </c>
      <c r="H33" s="186" t="s">
        <v>268</v>
      </c>
      <c r="I33" s="340">
        <v>5</v>
      </c>
      <c r="J33" s="187" t="s">
        <v>72</v>
      </c>
      <c r="K33" s="145" t="s">
        <v>73</v>
      </c>
      <c r="L33" s="145" t="s">
        <v>84</v>
      </c>
      <c r="M33" s="145" t="s">
        <v>112</v>
      </c>
      <c r="N33" s="188" t="s">
        <v>143</v>
      </c>
      <c r="O33" s="340" t="str">
        <f>VLOOKUP(P33,'TJ. FUNGSIONAL'!$B$4:$C$34,2,0)</f>
        <v>Wakil Kepala SD</v>
      </c>
      <c r="P33" s="340" t="s">
        <v>189</v>
      </c>
      <c r="Q33" s="376">
        <v>18</v>
      </c>
      <c r="R33" s="376">
        <v>18</v>
      </c>
      <c r="S33" s="376"/>
      <c r="T33" s="370"/>
      <c r="U33" s="385"/>
      <c r="V33" s="318"/>
      <c r="W33" s="442">
        <v>2</v>
      </c>
      <c r="X33" s="265"/>
      <c r="Y33" s="263"/>
      <c r="Z33" s="261"/>
      <c r="AA33" s="370"/>
      <c r="AB33" s="263"/>
      <c r="AC33" s="263"/>
      <c r="AD33" s="263"/>
      <c r="AE33" s="263"/>
      <c r="AF33" s="263"/>
      <c r="AG33" s="263"/>
      <c r="AH33" s="292"/>
      <c r="AI33" s="263"/>
      <c r="AJ33" s="189"/>
      <c r="AK33" s="191">
        <f>VLOOKUP(N33,Gapok!$B$5:$I$94,6,0)</f>
        <v>1350000</v>
      </c>
      <c r="AL33" s="191">
        <f>VLOOKUP(P33,'TJ. FUNGSIONAL'!$B$4:$F$34,5,0)</f>
        <v>1500000</v>
      </c>
      <c r="AM33" s="191">
        <f>IF(R33+S33&gt;=Q33,VLOOKUP(N33,Gapok!$B$5:$I$94,8,0),VLOOKUP('PER UNIT'!N33,Gapok!$B$5:$I$94,7,0)*('PER UNIT'!R33+'PER UNIT'!S33))</f>
        <v>425000</v>
      </c>
      <c r="AN33" s="191">
        <f>VLOOKUP(P33,'TJ. FUNGSIONAL'!$B$4:$E$34,4,0)</f>
        <v>400000</v>
      </c>
      <c r="AO33" s="192">
        <f t="shared" si="16"/>
        <v>250000</v>
      </c>
      <c r="AP33" s="193">
        <v>35000</v>
      </c>
      <c r="AQ33" s="194">
        <f t="shared" si="26"/>
        <v>50000</v>
      </c>
      <c r="AR33" s="195">
        <f t="shared" si="23"/>
        <v>0</v>
      </c>
      <c r="AS33" s="195">
        <f t="shared" si="28"/>
        <v>0</v>
      </c>
      <c r="AT33" s="196"/>
      <c r="AU33" s="96"/>
      <c r="AV33" s="96"/>
      <c r="AW33" s="96"/>
      <c r="AX33" s="96"/>
      <c r="AY33" s="96"/>
      <c r="AZ33" s="96"/>
      <c r="BA33" s="96"/>
      <c r="BB33" s="96">
        <v>975000</v>
      </c>
      <c r="BC33" s="96"/>
      <c r="BD33" s="197">
        <f t="shared" si="24"/>
        <v>4985000</v>
      </c>
      <c r="BE33" s="198">
        <f t="shared" si="18"/>
        <v>0</v>
      </c>
      <c r="BF33" s="195">
        <f t="shared" si="29"/>
        <v>0</v>
      </c>
      <c r="BG33" s="195">
        <f t="shared" si="20"/>
        <v>0</v>
      </c>
      <c r="BH33" s="195">
        <v>35000</v>
      </c>
      <c r="BI33" s="195">
        <v>0</v>
      </c>
      <c r="BJ33" s="195"/>
      <c r="BK33" s="107"/>
      <c r="BL33" s="107">
        <f t="shared" si="21"/>
        <v>0</v>
      </c>
      <c r="BM33" s="96">
        <v>975000</v>
      </c>
      <c r="BN33" s="107"/>
      <c r="BO33" s="311"/>
      <c r="BP33" s="309">
        <f t="shared" si="25"/>
        <v>1010000</v>
      </c>
      <c r="BQ33" s="107"/>
      <c r="BR33" s="196"/>
      <c r="BS33" s="200">
        <f t="shared" si="22"/>
        <v>3975000</v>
      </c>
      <c r="BT33" s="224">
        <v>7139143889</v>
      </c>
    </row>
    <row r="34" spans="1:1017" x14ac:dyDescent="0.45">
      <c r="A34" s="182">
        <v>28</v>
      </c>
      <c r="B34" s="252" t="s">
        <v>233</v>
      </c>
      <c r="C34" s="240" t="s">
        <v>1028</v>
      </c>
      <c r="D34" s="202" t="s">
        <v>932</v>
      </c>
      <c r="E34" s="217" t="s">
        <v>81</v>
      </c>
      <c r="F34" s="185" t="s">
        <v>279</v>
      </c>
      <c r="G34" s="278" t="s">
        <v>727</v>
      </c>
      <c r="H34" s="186" t="s">
        <v>280</v>
      </c>
      <c r="I34" s="340">
        <v>4</v>
      </c>
      <c r="J34" s="187" t="s">
        <v>72</v>
      </c>
      <c r="K34" s="145" t="s">
        <v>73</v>
      </c>
      <c r="L34" s="145" t="s">
        <v>281</v>
      </c>
      <c r="M34" s="145" t="s">
        <v>112</v>
      </c>
      <c r="N34" s="188" t="s">
        <v>194</v>
      </c>
      <c r="O34" s="340" t="str">
        <f>VLOOKUP(P34,'TJ. FUNGSIONAL'!$B$4:$C$34,2,0)</f>
        <v>Guru Quran SD</v>
      </c>
      <c r="P34" s="340" t="s">
        <v>177</v>
      </c>
      <c r="Q34" s="376">
        <v>18</v>
      </c>
      <c r="R34" s="376">
        <v>13</v>
      </c>
      <c r="S34" s="376">
        <v>5</v>
      </c>
      <c r="T34" s="370"/>
      <c r="U34" s="385"/>
      <c r="V34" s="370"/>
      <c r="W34" s="442">
        <v>2</v>
      </c>
      <c r="X34" s="265"/>
      <c r="Y34" s="263"/>
      <c r="Z34" s="261"/>
      <c r="AA34" s="370"/>
      <c r="AB34" s="263"/>
      <c r="AC34" s="263"/>
      <c r="AD34" s="263"/>
      <c r="AE34" s="263"/>
      <c r="AF34" s="263"/>
      <c r="AG34" s="263"/>
      <c r="AH34" s="370"/>
      <c r="AI34" s="263"/>
      <c r="AJ34" s="185"/>
      <c r="AK34" s="191">
        <f>VLOOKUP(N34,Gapok!$B$5:$I$94,6,0)</f>
        <v>1125000</v>
      </c>
      <c r="AL34" s="191">
        <f>VLOOKUP(P34,'TJ. FUNGSIONAL'!$B$4:$F$34,5,0)</f>
        <v>900000</v>
      </c>
      <c r="AM34" s="191">
        <f>IF(R34+S34&gt;=Q34,(VLOOKUP(N34,Gapok!$B$5:$I$94,5,0)),((VLOOKUP('PER UNIT'!N34,Gapok!$B$5:$I$94,4,0)*('PER UNIT'!R34+'PER UNIT'!S34))))</f>
        <v>375000</v>
      </c>
      <c r="AN34" s="191">
        <f>VLOOKUP(P34,'TJ. FUNGSIONAL'!$B$4:$E$34,4,0)</f>
        <v>300000</v>
      </c>
      <c r="AO34" s="192">
        <f t="shared" si="16"/>
        <v>200000</v>
      </c>
      <c r="AP34" s="193">
        <v>35000</v>
      </c>
      <c r="AQ34" s="194">
        <f t="shared" si="26"/>
        <v>50000</v>
      </c>
      <c r="AR34" s="195">
        <f t="shared" si="23"/>
        <v>0</v>
      </c>
      <c r="AS34" s="195">
        <f t="shared" si="28"/>
        <v>0</v>
      </c>
      <c r="AT34" s="196"/>
      <c r="AU34" s="96"/>
      <c r="AV34" s="96"/>
      <c r="AW34" s="96"/>
      <c r="AX34" s="96"/>
      <c r="AY34" s="96"/>
      <c r="AZ34" s="96"/>
      <c r="BA34" s="96"/>
      <c r="BB34" s="96">
        <v>975000</v>
      </c>
      <c r="BC34" s="96"/>
      <c r="BD34" s="197">
        <f t="shared" si="24"/>
        <v>3960000</v>
      </c>
      <c r="BE34" s="198">
        <f t="shared" si="18"/>
        <v>0</v>
      </c>
      <c r="BF34" s="195">
        <f t="shared" si="29"/>
        <v>37500</v>
      </c>
      <c r="BG34" s="195">
        <f t="shared" si="20"/>
        <v>0</v>
      </c>
      <c r="BH34" s="195">
        <v>0</v>
      </c>
      <c r="BI34" s="195">
        <v>0</v>
      </c>
      <c r="BJ34" s="195"/>
      <c r="BK34" s="107"/>
      <c r="BL34" s="107">
        <f t="shared" si="21"/>
        <v>0</v>
      </c>
      <c r="BM34" s="96">
        <v>975000</v>
      </c>
      <c r="BN34" s="107"/>
      <c r="BO34" s="311"/>
      <c r="BP34" s="309">
        <f t="shared" si="25"/>
        <v>1012500</v>
      </c>
      <c r="BQ34" s="199"/>
      <c r="BR34" s="196"/>
      <c r="BS34" s="200">
        <f t="shared" si="22"/>
        <v>2947500</v>
      </c>
      <c r="BT34" s="224">
        <v>7119978658</v>
      </c>
    </row>
    <row r="35" spans="1:1017" s="402" customFormat="1" x14ac:dyDescent="0.45">
      <c r="A35" s="182">
        <v>29</v>
      </c>
      <c r="B35" s="252" t="s">
        <v>239</v>
      </c>
      <c r="C35" s="240" t="s">
        <v>1029</v>
      </c>
      <c r="D35" s="295" t="s">
        <v>933</v>
      </c>
      <c r="E35" s="403" t="s">
        <v>81</v>
      </c>
      <c r="F35" s="388" t="s">
        <v>294</v>
      </c>
      <c r="G35" s="278" t="s">
        <v>727</v>
      </c>
      <c r="H35" s="380" t="s">
        <v>286</v>
      </c>
      <c r="I35" s="381">
        <v>4</v>
      </c>
      <c r="J35" s="382" t="s">
        <v>163</v>
      </c>
      <c r="K35" s="383" t="s">
        <v>73</v>
      </c>
      <c r="L35" s="383" t="s">
        <v>84</v>
      </c>
      <c r="M35" s="383" t="s">
        <v>92</v>
      </c>
      <c r="N35" s="384" t="s">
        <v>143</v>
      </c>
      <c r="O35" s="381" t="str">
        <f>VLOOKUP(P35,'TJ. FUNGSIONAL'!$B$4:$C$34,2,0)</f>
        <v>Guru Mapel SD</v>
      </c>
      <c r="P35" s="381" t="s">
        <v>226</v>
      </c>
      <c r="Q35" s="376">
        <v>18</v>
      </c>
      <c r="R35" s="376">
        <v>18</v>
      </c>
      <c r="S35" s="476"/>
      <c r="T35" s="477"/>
      <c r="U35" s="385"/>
      <c r="V35" s="385"/>
      <c r="W35" s="442">
        <v>2</v>
      </c>
      <c r="X35" s="470"/>
      <c r="Y35" s="387"/>
      <c r="Z35" s="471"/>
      <c r="AA35" s="385"/>
      <c r="AB35" s="387"/>
      <c r="AC35" s="387"/>
      <c r="AD35" s="387"/>
      <c r="AE35" s="387"/>
      <c r="AF35" s="387"/>
      <c r="AG35" s="387"/>
      <c r="AH35" s="385"/>
      <c r="AI35" s="387"/>
      <c r="AJ35" s="388"/>
      <c r="AK35" s="371">
        <f>VLOOKUP(N35,Gapok!$B$5:$I$94,6,0)</f>
        <v>1350000</v>
      </c>
      <c r="AL35" s="371">
        <f>VLOOKUP(P35,'TJ. FUNGSIONAL'!$B$4:$F$34,5,0)</f>
        <v>900000</v>
      </c>
      <c r="AM35" s="191">
        <f>IF(R35+S35&gt;=Q35,(VLOOKUP(N35,Gapok!$B$5:$I$94,5,0)),((VLOOKUP('PER UNIT'!N35,Gapok!$B$5:$I$94,4,0)*('PER UNIT'!R35+'PER UNIT'!S35))))</f>
        <v>375000</v>
      </c>
      <c r="AN35" s="371">
        <f>VLOOKUP(P35,'TJ. FUNGSIONAL'!$B$4:$E$34,4,0)</f>
        <v>300000</v>
      </c>
      <c r="AO35" s="389">
        <f t="shared" si="16"/>
        <v>200000</v>
      </c>
      <c r="AP35" s="390">
        <v>35000</v>
      </c>
      <c r="AQ35" s="391">
        <f t="shared" si="26"/>
        <v>50000</v>
      </c>
      <c r="AR35" s="392">
        <f t="shared" si="23"/>
        <v>0</v>
      </c>
      <c r="AS35" s="392">
        <f t="shared" si="28"/>
        <v>0</v>
      </c>
      <c r="AT35" s="392"/>
      <c r="AU35" s="394"/>
      <c r="AV35" s="394"/>
      <c r="AW35" s="394"/>
      <c r="AX35" s="394"/>
      <c r="AY35" s="394"/>
      <c r="AZ35" s="394"/>
      <c r="BA35" s="394"/>
      <c r="BB35" s="394">
        <v>975000</v>
      </c>
      <c r="BC35" s="394"/>
      <c r="BD35" s="197">
        <f t="shared" si="24"/>
        <v>4185000</v>
      </c>
      <c r="BE35" s="395">
        <f t="shared" si="18"/>
        <v>0</v>
      </c>
      <c r="BF35" s="392">
        <f t="shared" si="29"/>
        <v>0</v>
      </c>
      <c r="BG35" s="392">
        <f t="shared" si="20"/>
        <v>0</v>
      </c>
      <c r="BH35" s="392">
        <v>35000</v>
      </c>
      <c r="BI35" s="392">
        <v>0</v>
      </c>
      <c r="BJ35" s="392"/>
      <c r="BK35" s="396"/>
      <c r="BL35" s="396">
        <f t="shared" si="21"/>
        <v>0</v>
      </c>
      <c r="BM35" s="394">
        <v>975000</v>
      </c>
      <c r="BN35" s="396"/>
      <c r="BO35" s="397"/>
      <c r="BP35" s="398">
        <f t="shared" si="25"/>
        <v>1010000</v>
      </c>
      <c r="BQ35" s="399"/>
      <c r="BR35" s="393"/>
      <c r="BS35" s="400">
        <f t="shared" si="22"/>
        <v>3175000</v>
      </c>
      <c r="BT35" s="405">
        <v>7150501207</v>
      </c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401"/>
      <c r="CK35" s="401"/>
      <c r="CL35" s="401"/>
      <c r="CM35" s="401"/>
      <c r="CN35" s="401"/>
      <c r="CO35" s="401"/>
      <c r="CP35" s="401"/>
      <c r="CQ35" s="401"/>
      <c r="CR35" s="401"/>
      <c r="CS35" s="401"/>
      <c r="CT35" s="401"/>
      <c r="CU35" s="401"/>
      <c r="CV35" s="401"/>
      <c r="CW35" s="401"/>
      <c r="CX35" s="401"/>
      <c r="CY35" s="401"/>
      <c r="CZ35" s="401"/>
      <c r="DA35" s="401"/>
      <c r="DB35" s="401"/>
      <c r="DC35" s="401"/>
      <c r="DD35" s="401"/>
      <c r="DE35" s="401"/>
      <c r="DF35" s="401"/>
      <c r="DG35" s="401"/>
      <c r="DH35" s="401"/>
      <c r="DI35" s="401"/>
      <c r="DJ35" s="401"/>
      <c r="DK35" s="401"/>
      <c r="DL35" s="401"/>
      <c r="DM35" s="401"/>
      <c r="DN35" s="401"/>
      <c r="DO35" s="401"/>
      <c r="DP35" s="401"/>
      <c r="DQ35" s="401"/>
      <c r="DR35" s="401"/>
      <c r="DS35" s="401"/>
      <c r="DT35" s="401"/>
      <c r="DU35" s="401"/>
      <c r="DV35" s="401"/>
      <c r="DW35" s="401"/>
      <c r="DX35" s="401"/>
      <c r="DY35" s="401"/>
      <c r="DZ35" s="401"/>
      <c r="EA35" s="401"/>
      <c r="EB35" s="401"/>
      <c r="EC35" s="401"/>
      <c r="ED35" s="401"/>
      <c r="EE35" s="401"/>
      <c r="EF35" s="401"/>
      <c r="EG35" s="401"/>
      <c r="EH35" s="401"/>
      <c r="EI35" s="401"/>
      <c r="EJ35" s="401"/>
      <c r="EK35" s="401"/>
      <c r="EL35" s="401"/>
      <c r="EM35" s="401"/>
      <c r="EN35" s="401"/>
      <c r="EO35" s="401"/>
      <c r="EP35" s="401"/>
      <c r="EQ35" s="401"/>
      <c r="ER35" s="401"/>
      <c r="ES35" s="401"/>
      <c r="ET35" s="401"/>
      <c r="EU35" s="401"/>
      <c r="EV35" s="401"/>
      <c r="EW35" s="401"/>
      <c r="EX35" s="401"/>
      <c r="EY35" s="401"/>
      <c r="EZ35" s="401"/>
      <c r="FA35" s="401"/>
      <c r="FB35" s="401"/>
      <c r="FC35" s="401"/>
      <c r="FD35" s="401"/>
      <c r="FE35" s="401"/>
      <c r="FF35" s="401"/>
      <c r="FG35" s="401"/>
      <c r="FH35" s="401"/>
      <c r="FI35" s="401"/>
      <c r="FJ35" s="401"/>
      <c r="FK35" s="401"/>
      <c r="FL35" s="401"/>
      <c r="FM35" s="401"/>
      <c r="FN35" s="401"/>
      <c r="FO35" s="401"/>
      <c r="FP35" s="401"/>
      <c r="FQ35" s="401"/>
      <c r="FR35" s="401"/>
      <c r="FS35" s="401"/>
      <c r="FT35" s="401"/>
      <c r="FU35" s="401"/>
      <c r="FV35" s="401"/>
      <c r="FW35" s="401"/>
      <c r="FX35" s="401"/>
      <c r="FY35" s="401"/>
      <c r="FZ35" s="401"/>
      <c r="GA35" s="401"/>
      <c r="GB35" s="401"/>
      <c r="GC35" s="401"/>
      <c r="GD35" s="401"/>
      <c r="GE35" s="401"/>
      <c r="GF35" s="401"/>
      <c r="GG35" s="401"/>
      <c r="GH35" s="401"/>
      <c r="GI35" s="401"/>
      <c r="GJ35" s="401"/>
      <c r="GK35" s="401"/>
      <c r="GL35" s="401"/>
      <c r="GM35" s="401"/>
      <c r="GN35" s="401"/>
      <c r="GO35" s="401"/>
      <c r="GP35" s="401"/>
      <c r="GQ35" s="401"/>
      <c r="GR35" s="401"/>
      <c r="GS35" s="401"/>
      <c r="GT35" s="401"/>
      <c r="GU35" s="401"/>
      <c r="GV35" s="401"/>
      <c r="GW35" s="401"/>
      <c r="GX35" s="401"/>
      <c r="GY35" s="401"/>
      <c r="GZ35" s="401"/>
      <c r="HA35" s="401"/>
      <c r="HB35" s="401"/>
      <c r="HC35" s="401"/>
      <c r="HD35" s="401"/>
      <c r="HE35" s="401"/>
      <c r="HF35" s="401"/>
      <c r="HG35" s="401"/>
      <c r="HH35" s="401"/>
      <c r="HI35" s="401"/>
      <c r="HJ35" s="401"/>
      <c r="HK35" s="401"/>
      <c r="HL35" s="401"/>
      <c r="HM35" s="401"/>
      <c r="HN35" s="401"/>
      <c r="HO35" s="401"/>
      <c r="HP35" s="401"/>
      <c r="HQ35" s="401"/>
      <c r="HR35" s="401"/>
      <c r="HS35" s="401"/>
      <c r="HT35" s="401"/>
      <c r="HU35" s="401"/>
      <c r="HV35" s="401"/>
      <c r="HW35" s="401"/>
      <c r="HX35" s="401"/>
      <c r="HY35" s="401"/>
      <c r="HZ35" s="401"/>
      <c r="IA35" s="401"/>
      <c r="IB35" s="401"/>
      <c r="IC35" s="401"/>
      <c r="ID35" s="401"/>
      <c r="IE35" s="401"/>
      <c r="IF35" s="401"/>
      <c r="IG35" s="401"/>
      <c r="IH35" s="401"/>
      <c r="II35" s="401"/>
      <c r="IJ35" s="401"/>
      <c r="IK35" s="401"/>
      <c r="IL35" s="401"/>
      <c r="IM35" s="401"/>
      <c r="IN35" s="401"/>
      <c r="IO35" s="401"/>
      <c r="IP35" s="401"/>
      <c r="IQ35" s="401"/>
      <c r="IR35" s="401"/>
      <c r="IS35" s="401"/>
      <c r="IT35" s="401"/>
      <c r="IU35" s="401"/>
      <c r="IV35" s="401"/>
      <c r="IW35" s="401"/>
      <c r="IX35" s="401"/>
      <c r="IY35" s="401"/>
      <c r="IZ35" s="401"/>
      <c r="JA35" s="401"/>
      <c r="JB35" s="401"/>
      <c r="JC35" s="401"/>
      <c r="JD35" s="401"/>
      <c r="JE35" s="401"/>
      <c r="JF35" s="401"/>
      <c r="JG35" s="401"/>
      <c r="JH35" s="401"/>
      <c r="JI35" s="401"/>
      <c r="JJ35" s="401"/>
      <c r="JK35" s="401"/>
      <c r="JL35" s="401"/>
      <c r="JM35" s="401"/>
      <c r="JN35" s="401"/>
      <c r="JO35" s="401"/>
      <c r="JP35" s="401"/>
      <c r="JQ35" s="401"/>
      <c r="JR35" s="401"/>
      <c r="JS35" s="401"/>
      <c r="JT35" s="401"/>
      <c r="JU35" s="401"/>
      <c r="JV35" s="401"/>
      <c r="JW35" s="401"/>
      <c r="JX35" s="401"/>
      <c r="JY35" s="401"/>
      <c r="JZ35" s="401"/>
      <c r="KA35" s="401"/>
      <c r="KB35" s="401"/>
      <c r="KC35" s="401"/>
      <c r="KD35" s="401"/>
      <c r="KE35" s="401"/>
      <c r="KF35" s="401"/>
      <c r="KG35" s="401"/>
      <c r="KH35" s="401"/>
      <c r="KI35" s="401"/>
      <c r="KJ35" s="401"/>
      <c r="KK35" s="401"/>
      <c r="KL35" s="401"/>
      <c r="KM35" s="401"/>
      <c r="KN35" s="401"/>
      <c r="KO35" s="401"/>
      <c r="KP35" s="401"/>
      <c r="KQ35" s="401"/>
      <c r="KR35" s="401"/>
      <c r="KS35" s="401"/>
      <c r="KT35" s="401"/>
      <c r="KU35" s="401"/>
      <c r="KV35" s="401"/>
      <c r="KW35" s="401"/>
      <c r="KX35" s="401"/>
      <c r="KY35" s="401"/>
      <c r="KZ35" s="401"/>
      <c r="LA35" s="401"/>
      <c r="LB35" s="401"/>
      <c r="LC35" s="401"/>
      <c r="LD35" s="401"/>
      <c r="LE35" s="401"/>
      <c r="LF35" s="401"/>
      <c r="LG35" s="401"/>
      <c r="LH35" s="401"/>
      <c r="LI35" s="401"/>
      <c r="LJ35" s="401"/>
      <c r="LK35" s="401"/>
      <c r="LL35" s="401"/>
      <c r="LM35" s="401"/>
      <c r="LN35" s="401"/>
      <c r="LO35" s="401"/>
      <c r="LP35" s="401"/>
      <c r="LQ35" s="401"/>
      <c r="LR35" s="401"/>
      <c r="LS35" s="401"/>
      <c r="LT35" s="401"/>
      <c r="LU35" s="401"/>
      <c r="LV35" s="401"/>
      <c r="LW35" s="401"/>
      <c r="LX35" s="401"/>
      <c r="LY35" s="401"/>
      <c r="LZ35" s="401"/>
      <c r="MA35" s="401"/>
      <c r="MB35" s="401"/>
      <c r="MC35" s="401"/>
      <c r="MD35" s="401"/>
      <c r="ME35" s="401"/>
      <c r="MF35" s="401"/>
      <c r="MG35" s="401"/>
      <c r="MH35" s="401"/>
      <c r="MI35" s="401"/>
      <c r="MJ35" s="401"/>
      <c r="MK35" s="401"/>
      <c r="ML35" s="401"/>
      <c r="MM35" s="401"/>
      <c r="MN35" s="401"/>
      <c r="MO35" s="401"/>
      <c r="MP35" s="401"/>
      <c r="MQ35" s="401"/>
      <c r="MR35" s="401"/>
      <c r="MS35" s="401"/>
      <c r="MT35" s="401"/>
      <c r="MU35" s="401"/>
      <c r="MV35" s="401"/>
      <c r="MW35" s="401"/>
      <c r="MX35" s="401"/>
      <c r="MY35" s="401"/>
      <c r="MZ35" s="401"/>
      <c r="NA35" s="401"/>
      <c r="NB35" s="401"/>
      <c r="NC35" s="401"/>
      <c r="ND35" s="401"/>
      <c r="NE35" s="401"/>
      <c r="NF35" s="401"/>
      <c r="NG35" s="401"/>
      <c r="NH35" s="401"/>
      <c r="NI35" s="401"/>
      <c r="NJ35" s="401"/>
      <c r="NK35" s="401"/>
      <c r="NL35" s="401"/>
      <c r="NM35" s="401"/>
      <c r="NN35" s="401"/>
      <c r="NO35" s="401"/>
      <c r="NP35" s="401"/>
      <c r="NQ35" s="401"/>
      <c r="NR35" s="401"/>
      <c r="NS35" s="401"/>
      <c r="NT35" s="401"/>
      <c r="NU35" s="401"/>
      <c r="NV35" s="401"/>
      <c r="NW35" s="401"/>
      <c r="NX35" s="401"/>
      <c r="NY35" s="401"/>
      <c r="NZ35" s="401"/>
      <c r="OA35" s="401"/>
      <c r="OB35" s="401"/>
      <c r="OC35" s="401"/>
      <c r="OD35" s="401"/>
      <c r="OE35" s="401"/>
      <c r="OF35" s="401"/>
      <c r="OG35" s="401"/>
      <c r="OH35" s="401"/>
      <c r="OI35" s="401"/>
      <c r="OJ35" s="401"/>
      <c r="OK35" s="401"/>
      <c r="OL35" s="401"/>
      <c r="OM35" s="401"/>
      <c r="ON35" s="401"/>
      <c r="OO35" s="401"/>
      <c r="OP35" s="401"/>
      <c r="OQ35" s="401"/>
      <c r="OR35" s="401"/>
      <c r="OS35" s="401"/>
      <c r="OT35" s="401"/>
      <c r="OU35" s="401"/>
      <c r="OV35" s="401"/>
      <c r="OW35" s="401"/>
      <c r="OX35" s="401"/>
      <c r="OY35" s="401"/>
      <c r="OZ35" s="401"/>
      <c r="PA35" s="401"/>
      <c r="PB35" s="401"/>
      <c r="PC35" s="401"/>
      <c r="PD35" s="401"/>
      <c r="PE35" s="401"/>
      <c r="PF35" s="401"/>
      <c r="PG35" s="401"/>
      <c r="PH35" s="401"/>
      <c r="PI35" s="401"/>
      <c r="PJ35" s="401"/>
      <c r="PK35" s="401"/>
      <c r="PL35" s="401"/>
      <c r="PM35" s="401"/>
      <c r="PN35" s="401"/>
      <c r="PO35" s="401"/>
      <c r="PP35" s="401"/>
      <c r="PQ35" s="401"/>
      <c r="PR35" s="401"/>
      <c r="PS35" s="401"/>
      <c r="PT35" s="401"/>
      <c r="PU35" s="401"/>
      <c r="PV35" s="401"/>
      <c r="PW35" s="401"/>
      <c r="PX35" s="401"/>
      <c r="PY35" s="401"/>
      <c r="PZ35" s="401"/>
      <c r="QA35" s="401"/>
      <c r="QB35" s="401"/>
      <c r="QC35" s="401"/>
      <c r="QD35" s="401"/>
      <c r="QE35" s="401"/>
      <c r="QF35" s="401"/>
      <c r="QG35" s="401"/>
      <c r="QH35" s="401"/>
      <c r="QI35" s="401"/>
      <c r="QJ35" s="401"/>
      <c r="QK35" s="401"/>
      <c r="QL35" s="401"/>
      <c r="QM35" s="401"/>
      <c r="QN35" s="401"/>
      <c r="QO35" s="401"/>
      <c r="QP35" s="401"/>
      <c r="QQ35" s="401"/>
      <c r="QR35" s="401"/>
      <c r="QS35" s="401"/>
      <c r="QT35" s="401"/>
      <c r="QU35" s="401"/>
      <c r="QV35" s="401"/>
      <c r="QW35" s="401"/>
      <c r="QX35" s="401"/>
      <c r="QY35" s="401"/>
      <c r="QZ35" s="401"/>
      <c r="RA35" s="401"/>
      <c r="RB35" s="401"/>
      <c r="RC35" s="401"/>
      <c r="RD35" s="401"/>
      <c r="RE35" s="401"/>
      <c r="RF35" s="401"/>
      <c r="RG35" s="401"/>
      <c r="RH35" s="401"/>
      <c r="RI35" s="401"/>
      <c r="RJ35" s="401"/>
      <c r="RK35" s="401"/>
      <c r="RL35" s="401"/>
      <c r="RM35" s="401"/>
      <c r="RN35" s="401"/>
      <c r="RO35" s="401"/>
      <c r="RP35" s="401"/>
      <c r="RQ35" s="401"/>
      <c r="RR35" s="401"/>
      <c r="RS35" s="401"/>
      <c r="RT35" s="401"/>
      <c r="RU35" s="401"/>
      <c r="RV35" s="401"/>
      <c r="RW35" s="401"/>
      <c r="RX35" s="401"/>
      <c r="RY35" s="401"/>
      <c r="RZ35" s="401"/>
      <c r="SA35" s="401"/>
      <c r="SB35" s="401"/>
      <c r="SC35" s="401"/>
      <c r="SD35" s="401"/>
      <c r="SE35" s="401"/>
      <c r="SF35" s="401"/>
      <c r="SG35" s="401"/>
      <c r="SH35" s="401"/>
      <c r="SI35" s="401"/>
      <c r="SJ35" s="401"/>
      <c r="SK35" s="401"/>
      <c r="SL35" s="401"/>
      <c r="SM35" s="401"/>
      <c r="SN35" s="401"/>
      <c r="SO35" s="401"/>
      <c r="SP35" s="401"/>
      <c r="SQ35" s="401"/>
      <c r="SR35" s="401"/>
      <c r="SS35" s="401"/>
      <c r="ST35" s="401"/>
      <c r="SU35" s="401"/>
      <c r="SV35" s="401"/>
      <c r="SW35" s="401"/>
      <c r="SX35" s="401"/>
      <c r="SY35" s="401"/>
      <c r="SZ35" s="401"/>
      <c r="TA35" s="401"/>
      <c r="TB35" s="401"/>
      <c r="TC35" s="401"/>
      <c r="TD35" s="401"/>
      <c r="TE35" s="401"/>
      <c r="TF35" s="401"/>
      <c r="TG35" s="401"/>
      <c r="TH35" s="401"/>
      <c r="TI35" s="401"/>
      <c r="TJ35" s="401"/>
      <c r="TK35" s="401"/>
      <c r="TL35" s="401"/>
      <c r="TM35" s="401"/>
      <c r="TN35" s="401"/>
      <c r="TO35" s="401"/>
      <c r="TP35" s="401"/>
      <c r="TQ35" s="401"/>
      <c r="TR35" s="401"/>
      <c r="TS35" s="401"/>
      <c r="TT35" s="401"/>
      <c r="TU35" s="401"/>
      <c r="TV35" s="401"/>
      <c r="TW35" s="401"/>
      <c r="TX35" s="401"/>
      <c r="TY35" s="401"/>
      <c r="TZ35" s="401"/>
      <c r="UA35" s="401"/>
      <c r="UB35" s="401"/>
      <c r="UC35" s="401"/>
      <c r="UD35" s="401"/>
      <c r="UE35" s="401"/>
      <c r="UF35" s="401"/>
      <c r="UG35" s="401"/>
      <c r="UH35" s="401"/>
      <c r="UI35" s="401"/>
      <c r="UJ35" s="401"/>
      <c r="UK35" s="401"/>
      <c r="UL35" s="401"/>
      <c r="UM35" s="401"/>
      <c r="UN35" s="401"/>
      <c r="UO35" s="401"/>
      <c r="UP35" s="401"/>
      <c r="UQ35" s="401"/>
      <c r="UR35" s="401"/>
      <c r="US35" s="401"/>
      <c r="UT35" s="401"/>
      <c r="UU35" s="401"/>
      <c r="UV35" s="401"/>
      <c r="UW35" s="401"/>
      <c r="UX35" s="401"/>
      <c r="UY35" s="401"/>
      <c r="UZ35" s="401"/>
      <c r="VA35" s="401"/>
      <c r="VB35" s="401"/>
      <c r="VC35" s="401"/>
      <c r="VD35" s="401"/>
      <c r="VE35" s="401"/>
      <c r="VF35" s="401"/>
      <c r="VG35" s="401"/>
      <c r="VH35" s="401"/>
      <c r="VI35" s="401"/>
      <c r="VJ35" s="401"/>
      <c r="VK35" s="401"/>
      <c r="VL35" s="401"/>
      <c r="VM35" s="401"/>
      <c r="VN35" s="401"/>
      <c r="VO35" s="401"/>
      <c r="VP35" s="401"/>
      <c r="VQ35" s="401"/>
      <c r="VR35" s="401"/>
      <c r="VS35" s="401"/>
      <c r="VT35" s="401"/>
      <c r="VU35" s="401"/>
      <c r="VV35" s="401"/>
      <c r="VW35" s="401"/>
      <c r="VX35" s="401"/>
      <c r="VY35" s="401"/>
      <c r="VZ35" s="401"/>
      <c r="WA35" s="401"/>
      <c r="WB35" s="401"/>
      <c r="WC35" s="401"/>
      <c r="WD35" s="401"/>
      <c r="WE35" s="401"/>
      <c r="WF35" s="401"/>
      <c r="WG35" s="401"/>
      <c r="WH35" s="401"/>
      <c r="WI35" s="401"/>
      <c r="WJ35" s="401"/>
      <c r="WK35" s="401"/>
      <c r="WL35" s="401"/>
      <c r="WM35" s="401"/>
      <c r="WN35" s="401"/>
      <c r="WO35" s="401"/>
      <c r="WP35" s="401"/>
      <c r="WQ35" s="401"/>
      <c r="WR35" s="401"/>
      <c r="WS35" s="401"/>
      <c r="WT35" s="401"/>
      <c r="WU35" s="401"/>
      <c r="WV35" s="401"/>
      <c r="WW35" s="401"/>
      <c r="WX35" s="401"/>
      <c r="WY35" s="401"/>
      <c r="WZ35" s="401"/>
      <c r="XA35" s="401"/>
      <c r="XB35" s="401"/>
      <c r="XC35" s="401"/>
      <c r="XD35" s="401"/>
      <c r="XE35" s="401"/>
      <c r="XF35" s="401"/>
      <c r="XG35" s="401"/>
      <c r="XH35" s="401"/>
      <c r="XI35" s="401"/>
      <c r="XJ35" s="401"/>
      <c r="XK35" s="401"/>
      <c r="XL35" s="401"/>
      <c r="XM35" s="401"/>
      <c r="XN35" s="401"/>
      <c r="XO35" s="401"/>
      <c r="XP35" s="401"/>
      <c r="XQ35" s="401"/>
      <c r="XR35" s="401"/>
      <c r="XS35" s="401"/>
      <c r="XT35" s="401"/>
      <c r="XU35" s="401"/>
      <c r="XV35" s="401"/>
      <c r="XW35" s="401"/>
      <c r="XX35" s="401"/>
      <c r="XY35" s="401"/>
      <c r="XZ35" s="401"/>
      <c r="YA35" s="401"/>
      <c r="YB35" s="401"/>
      <c r="YC35" s="401"/>
      <c r="YD35" s="401"/>
      <c r="YE35" s="401"/>
      <c r="YF35" s="401"/>
      <c r="YG35" s="401"/>
      <c r="YH35" s="401"/>
      <c r="YI35" s="401"/>
      <c r="YJ35" s="401"/>
      <c r="YK35" s="401"/>
      <c r="YL35" s="401"/>
      <c r="YM35" s="401"/>
      <c r="YN35" s="401"/>
      <c r="YO35" s="401"/>
      <c r="YP35" s="401"/>
      <c r="YQ35" s="401"/>
      <c r="YR35" s="401"/>
      <c r="YS35" s="401"/>
      <c r="YT35" s="401"/>
      <c r="YU35" s="401"/>
      <c r="YV35" s="401"/>
      <c r="YW35" s="401"/>
      <c r="YX35" s="401"/>
      <c r="YY35" s="401"/>
      <c r="YZ35" s="401"/>
      <c r="ZA35" s="401"/>
      <c r="ZB35" s="401"/>
      <c r="ZC35" s="401"/>
      <c r="ZD35" s="401"/>
      <c r="ZE35" s="401"/>
      <c r="ZF35" s="401"/>
      <c r="ZG35" s="401"/>
      <c r="ZH35" s="401"/>
      <c r="ZI35" s="401"/>
      <c r="ZJ35" s="401"/>
      <c r="ZK35" s="401"/>
      <c r="ZL35" s="401"/>
      <c r="ZM35" s="401"/>
      <c r="ZN35" s="401"/>
      <c r="ZO35" s="401"/>
      <c r="ZP35" s="401"/>
      <c r="ZQ35" s="401"/>
      <c r="ZR35" s="401"/>
      <c r="ZS35" s="401"/>
      <c r="ZT35" s="401"/>
      <c r="ZU35" s="401"/>
      <c r="ZV35" s="401"/>
      <c r="ZW35" s="401"/>
      <c r="ZX35" s="401"/>
      <c r="ZY35" s="401"/>
      <c r="ZZ35" s="401"/>
      <c r="AAA35" s="401"/>
      <c r="AAB35" s="401"/>
      <c r="AAC35" s="401"/>
      <c r="AAD35" s="401"/>
      <c r="AAE35" s="401"/>
      <c r="AAF35" s="401"/>
      <c r="AAG35" s="401"/>
      <c r="AAH35" s="401"/>
      <c r="AAI35" s="401"/>
      <c r="AAJ35" s="401"/>
      <c r="AAK35" s="401"/>
      <c r="AAL35" s="401"/>
      <c r="AAM35" s="401"/>
      <c r="AAN35" s="401"/>
      <c r="AAO35" s="401"/>
      <c r="AAP35" s="401"/>
      <c r="AAQ35" s="401"/>
      <c r="AAR35" s="401"/>
      <c r="AAS35" s="401"/>
      <c r="AAT35" s="401"/>
      <c r="AAU35" s="401"/>
      <c r="AAV35" s="401"/>
      <c r="AAW35" s="401"/>
      <c r="AAX35" s="401"/>
      <c r="AAY35" s="401"/>
      <c r="AAZ35" s="401"/>
      <c r="ABA35" s="401"/>
      <c r="ABB35" s="401"/>
      <c r="ABC35" s="401"/>
      <c r="ABD35" s="401"/>
      <c r="ABE35" s="401"/>
      <c r="ABF35" s="401"/>
      <c r="ABG35" s="401"/>
      <c r="ABH35" s="401"/>
      <c r="ABI35" s="401"/>
      <c r="ABJ35" s="401"/>
      <c r="ABK35" s="401"/>
      <c r="ABL35" s="401"/>
      <c r="ABM35" s="401"/>
      <c r="ABN35" s="401"/>
      <c r="ABO35" s="401"/>
      <c r="ABP35" s="401"/>
      <c r="ABQ35" s="401"/>
      <c r="ABR35" s="401"/>
      <c r="ABS35" s="401"/>
      <c r="ABT35" s="401"/>
      <c r="ABU35" s="401"/>
      <c r="ABV35" s="401"/>
      <c r="ABW35" s="401"/>
      <c r="ABX35" s="401"/>
      <c r="ABY35" s="401"/>
      <c r="ABZ35" s="401"/>
      <c r="ACA35" s="401"/>
      <c r="ACB35" s="401"/>
      <c r="ACC35" s="401"/>
      <c r="ACD35" s="401"/>
      <c r="ACE35" s="401"/>
      <c r="ACF35" s="401"/>
      <c r="ACG35" s="401"/>
      <c r="ACH35" s="401"/>
      <c r="ACI35" s="401"/>
      <c r="ACJ35" s="401"/>
      <c r="ACK35" s="401"/>
      <c r="ACL35" s="401"/>
      <c r="ACM35" s="401"/>
      <c r="ACN35" s="401"/>
      <c r="ACO35" s="401"/>
      <c r="ACP35" s="401"/>
      <c r="ACQ35" s="401"/>
      <c r="ACR35" s="401"/>
      <c r="ACS35" s="401"/>
      <c r="ACT35" s="401"/>
      <c r="ACU35" s="401"/>
      <c r="ACV35" s="401"/>
      <c r="ACW35" s="401"/>
      <c r="ACX35" s="401"/>
      <c r="ACY35" s="401"/>
      <c r="ACZ35" s="401"/>
      <c r="ADA35" s="401"/>
      <c r="ADB35" s="401"/>
      <c r="ADC35" s="401"/>
      <c r="ADD35" s="401"/>
      <c r="ADE35" s="401"/>
      <c r="ADF35" s="401"/>
      <c r="ADG35" s="401"/>
      <c r="ADH35" s="401"/>
      <c r="ADI35" s="401"/>
      <c r="ADJ35" s="401"/>
      <c r="ADK35" s="401"/>
      <c r="ADL35" s="401"/>
      <c r="ADM35" s="401"/>
      <c r="ADN35" s="401"/>
      <c r="ADO35" s="401"/>
      <c r="ADP35" s="401"/>
      <c r="ADQ35" s="401"/>
      <c r="ADR35" s="401"/>
      <c r="ADS35" s="401"/>
      <c r="ADT35" s="401"/>
      <c r="ADU35" s="401"/>
      <c r="ADV35" s="401"/>
      <c r="ADW35" s="401"/>
      <c r="ADX35" s="401"/>
      <c r="ADY35" s="401"/>
      <c r="ADZ35" s="401"/>
      <c r="AEA35" s="401"/>
      <c r="AEB35" s="401"/>
      <c r="AEC35" s="401"/>
      <c r="AED35" s="401"/>
      <c r="AEE35" s="401"/>
      <c r="AEF35" s="401"/>
      <c r="AEG35" s="401"/>
      <c r="AEH35" s="401"/>
      <c r="AEI35" s="401"/>
      <c r="AEJ35" s="401"/>
      <c r="AEK35" s="401"/>
      <c r="AEL35" s="401"/>
      <c r="AEM35" s="401"/>
      <c r="AEN35" s="401"/>
      <c r="AEO35" s="401"/>
      <c r="AEP35" s="401"/>
      <c r="AEQ35" s="401"/>
      <c r="AER35" s="401"/>
      <c r="AES35" s="401"/>
      <c r="AET35" s="401"/>
      <c r="AEU35" s="401"/>
      <c r="AEV35" s="401"/>
      <c r="AEW35" s="401"/>
      <c r="AEX35" s="401"/>
      <c r="AEY35" s="401"/>
      <c r="AEZ35" s="401"/>
      <c r="AFA35" s="401"/>
      <c r="AFB35" s="401"/>
      <c r="AFC35" s="401"/>
      <c r="AFD35" s="401"/>
      <c r="AFE35" s="401"/>
      <c r="AFF35" s="401"/>
      <c r="AFG35" s="401"/>
      <c r="AFH35" s="401"/>
      <c r="AFI35" s="401"/>
      <c r="AFJ35" s="401"/>
      <c r="AFK35" s="401"/>
      <c r="AFL35" s="401"/>
      <c r="AFM35" s="401"/>
      <c r="AFN35" s="401"/>
      <c r="AFO35" s="401"/>
      <c r="AFP35" s="401"/>
      <c r="AFQ35" s="401"/>
      <c r="AFR35" s="401"/>
      <c r="AFS35" s="401"/>
      <c r="AFT35" s="401"/>
      <c r="AFU35" s="401"/>
      <c r="AFV35" s="401"/>
      <c r="AFW35" s="401"/>
      <c r="AFX35" s="401"/>
      <c r="AFY35" s="401"/>
      <c r="AFZ35" s="401"/>
      <c r="AGA35" s="401"/>
      <c r="AGB35" s="401"/>
      <c r="AGC35" s="401"/>
      <c r="AGD35" s="401"/>
      <c r="AGE35" s="401"/>
      <c r="AGF35" s="401"/>
      <c r="AGG35" s="401"/>
      <c r="AGH35" s="401"/>
      <c r="AGI35" s="401"/>
      <c r="AGJ35" s="401"/>
      <c r="AGK35" s="401"/>
      <c r="AGL35" s="401"/>
      <c r="AGM35" s="401"/>
      <c r="AGN35" s="401"/>
      <c r="AGO35" s="401"/>
      <c r="AGP35" s="401"/>
      <c r="AGQ35" s="401"/>
      <c r="AGR35" s="401"/>
      <c r="AGS35" s="401"/>
      <c r="AGT35" s="401"/>
      <c r="AGU35" s="401"/>
      <c r="AGV35" s="401"/>
      <c r="AGW35" s="401"/>
      <c r="AGX35" s="401"/>
      <c r="AGY35" s="401"/>
      <c r="AGZ35" s="401"/>
      <c r="AHA35" s="401"/>
      <c r="AHB35" s="401"/>
      <c r="AHC35" s="401"/>
      <c r="AHD35" s="401"/>
      <c r="AHE35" s="401"/>
      <c r="AHF35" s="401"/>
      <c r="AHG35" s="401"/>
      <c r="AHH35" s="401"/>
      <c r="AHI35" s="401"/>
      <c r="AHJ35" s="401"/>
      <c r="AHK35" s="401"/>
      <c r="AHL35" s="401"/>
      <c r="AHM35" s="401"/>
      <c r="AHN35" s="401"/>
      <c r="AHO35" s="401"/>
      <c r="AHP35" s="401"/>
      <c r="AHQ35" s="401"/>
      <c r="AHR35" s="401"/>
      <c r="AHS35" s="401"/>
      <c r="AHT35" s="401"/>
      <c r="AHU35" s="401"/>
      <c r="AHV35" s="401"/>
      <c r="AHW35" s="401"/>
      <c r="AHX35" s="401"/>
      <c r="AHY35" s="401"/>
      <c r="AHZ35" s="401"/>
      <c r="AIA35" s="401"/>
      <c r="AIB35" s="401"/>
      <c r="AIC35" s="401"/>
      <c r="AID35" s="401"/>
      <c r="AIE35" s="401"/>
      <c r="AIF35" s="401"/>
      <c r="AIG35" s="401"/>
      <c r="AIH35" s="401"/>
      <c r="AII35" s="401"/>
      <c r="AIJ35" s="401"/>
      <c r="AIK35" s="401"/>
      <c r="AIL35" s="401"/>
      <c r="AIM35" s="401"/>
      <c r="AIN35" s="401"/>
      <c r="AIO35" s="401"/>
      <c r="AIP35" s="401"/>
      <c r="AIQ35" s="401"/>
      <c r="AIR35" s="401"/>
      <c r="AIS35" s="401"/>
      <c r="AIT35" s="401"/>
      <c r="AIU35" s="401"/>
      <c r="AIV35" s="401"/>
      <c r="AIW35" s="401"/>
      <c r="AIX35" s="401"/>
      <c r="AIY35" s="401"/>
      <c r="AIZ35" s="401"/>
      <c r="AJA35" s="401"/>
      <c r="AJB35" s="401"/>
      <c r="AJC35" s="401"/>
      <c r="AJD35" s="401"/>
      <c r="AJE35" s="401"/>
      <c r="AJF35" s="401"/>
      <c r="AJG35" s="401"/>
      <c r="AJH35" s="401"/>
      <c r="AJI35" s="401"/>
      <c r="AJJ35" s="401"/>
      <c r="AJK35" s="401"/>
      <c r="AJL35" s="401"/>
      <c r="AJM35" s="401"/>
      <c r="AJN35" s="401"/>
      <c r="AJO35" s="401"/>
      <c r="AJP35" s="401"/>
      <c r="AJQ35" s="401"/>
      <c r="AJR35" s="401"/>
      <c r="AJS35" s="401"/>
      <c r="AJT35" s="401"/>
      <c r="AJU35" s="401"/>
      <c r="AJV35" s="401"/>
      <c r="AJW35" s="401"/>
      <c r="AJX35" s="401"/>
      <c r="AJY35" s="401"/>
      <c r="AJZ35" s="401"/>
      <c r="AKA35" s="401"/>
      <c r="AKB35" s="401"/>
      <c r="AKC35" s="401"/>
      <c r="AKD35" s="401"/>
      <c r="AKE35" s="401"/>
      <c r="AKF35" s="401"/>
      <c r="AKG35" s="401"/>
      <c r="AKH35" s="401"/>
      <c r="AKI35" s="401"/>
      <c r="AKJ35" s="401"/>
      <c r="AKK35" s="401"/>
      <c r="AKL35" s="401"/>
      <c r="AKM35" s="401"/>
      <c r="AKN35" s="401"/>
      <c r="AKO35" s="401"/>
      <c r="AKP35" s="401"/>
      <c r="AKQ35" s="401"/>
      <c r="AKR35" s="401"/>
      <c r="AKS35" s="401"/>
      <c r="AKT35" s="401"/>
      <c r="AKU35" s="401"/>
      <c r="AKV35" s="401"/>
      <c r="AKW35" s="401"/>
      <c r="AKX35" s="401"/>
      <c r="AKY35" s="401"/>
      <c r="AKZ35" s="401"/>
      <c r="ALA35" s="401"/>
      <c r="ALB35" s="401"/>
      <c r="ALC35" s="401"/>
      <c r="ALD35" s="401"/>
      <c r="ALE35" s="401"/>
      <c r="ALF35" s="401"/>
      <c r="ALG35" s="401"/>
      <c r="ALH35" s="401"/>
      <c r="ALI35" s="401"/>
      <c r="ALJ35" s="401"/>
      <c r="ALK35" s="401"/>
      <c r="ALL35" s="401"/>
      <c r="ALM35" s="401"/>
      <c r="ALN35" s="401"/>
      <c r="ALO35" s="401"/>
      <c r="ALP35" s="401"/>
      <c r="ALQ35" s="401"/>
      <c r="ALR35" s="401"/>
      <c r="ALS35" s="401"/>
      <c r="ALT35" s="401"/>
      <c r="ALU35" s="401"/>
      <c r="ALV35" s="401"/>
      <c r="ALW35" s="401"/>
      <c r="ALX35" s="401"/>
      <c r="ALY35" s="401"/>
      <c r="ALZ35" s="401"/>
      <c r="AMA35" s="401"/>
      <c r="AMB35" s="401"/>
      <c r="AMC35" s="401"/>
    </row>
    <row r="36" spans="1:1017" s="402" customFormat="1" x14ac:dyDescent="0.45">
      <c r="A36" s="182">
        <v>30</v>
      </c>
      <c r="B36" s="252" t="s">
        <v>243</v>
      </c>
      <c r="C36" s="240" t="s">
        <v>1030</v>
      </c>
      <c r="D36" s="295" t="s">
        <v>934</v>
      </c>
      <c r="E36" s="404" t="s">
        <v>81</v>
      </c>
      <c r="F36" s="379" t="s">
        <v>298</v>
      </c>
      <c r="G36" s="278" t="s">
        <v>727</v>
      </c>
      <c r="H36" s="380" t="s">
        <v>286</v>
      </c>
      <c r="I36" s="381">
        <v>4</v>
      </c>
      <c r="J36" s="382" t="s">
        <v>163</v>
      </c>
      <c r="K36" s="383" t="s">
        <v>105</v>
      </c>
      <c r="L36" s="382" t="s">
        <v>84</v>
      </c>
      <c r="M36" s="383" t="s">
        <v>92</v>
      </c>
      <c r="N36" s="384" t="s">
        <v>143</v>
      </c>
      <c r="O36" s="381" t="str">
        <f>VLOOKUP(P36,'TJ. FUNGSIONAL'!$B$4:$C$34,2,0)</f>
        <v>Guru Quran SD</v>
      </c>
      <c r="P36" s="381" t="s">
        <v>177</v>
      </c>
      <c r="Q36" s="376">
        <v>18</v>
      </c>
      <c r="R36" s="376">
        <v>12</v>
      </c>
      <c r="S36" s="376">
        <v>6</v>
      </c>
      <c r="T36" s="370"/>
      <c r="U36" s="370"/>
      <c r="V36" s="385"/>
      <c r="W36" s="442">
        <v>2</v>
      </c>
      <c r="X36" s="385"/>
      <c r="Y36" s="385"/>
      <c r="Z36" s="385"/>
      <c r="AA36" s="385"/>
      <c r="AB36" s="387"/>
      <c r="AC36" s="387"/>
      <c r="AD36" s="387">
        <v>2</v>
      </c>
      <c r="AE36" s="387"/>
      <c r="AF36" s="387"/>
      <c r="AG36" s="387"/>
      <c r="AH36" s="386"/>
      <c r="AI36" s="387"/>
      <c r="AJ36" s="388"/>
      <c r="AK36" s="371">
        <f>VLOOKUP(N36,Gapok!$B$5:$I$94,6,0)</f>
        <v>1350000</v>
      </c>
      <c r="AL36" s="371">
        <f>VLOOKUP(P36,'TJ. FUNGSIONAL'!$B$4:$F$34,5,0)</f>
        <v>900000</v>
      </c>
      <c r="AM36" s="371">
        <f>IF(R36+S36&gt;=Q36,(VLOOKUP(N36,Gapok!$B$5:$I$94,8,0)),((VLOOKUP('PER UNIT'!N36,Gapok!$B$5:$I$94,7,0)*('PER UNIT'!R36+'PER UNIT'!S36))))</f>
        <v>425000</v>
      </c>
      <c r="AN36" s="371">
        <f>VLOOKUP(P36,'TJ. FUNGSIONAL'!$B$4:$E$34,4,0)</f>
        <v>300000</v>
      </c>
      <c r="AO36" s="389">
        <f t="shared" si="16"/>
        <v>200000</v>
      </c>
      <c r="AP36" s="390">
        <v>35000</v>
      </c>
      <c r="AQ36" s="391">
        <f t="shared" si="26"/>
        <v>50000</v>
      </c>
      <c r="AR36" s="392">
        <f t="shared" si="23"/>
        <v>0</v>
      </c>
      <c r="AS36" s="392">
        <f t="shared" si="28"/>
        <v>0</v>
      </c>
      <c r="AT36" s="393"/>
      <c r="AU36" s="394"/>
      <c r="AV36" s="394"/>
      <c r="AW36" s="394"/>
      <c r="AX36" s="394"/>
      <c r="AY36" s="394"/>
      <c r="AZ36" s="394"/>
      <c r="BA36" s="394"/>
      <c r="BB36" s="394">
        <v>975000</v>
      </c>
      <c r="BC36" s="394"/>
      <c r="BD36" s="407">
        <f t="shared" si="24"/>
        <v>4235000</v>
      </c>
      <c r="BE36" s="395">
        <f t="shared" si="18"/>
        <v>0</v>
      </c>
      <c r="BF36" s="392">
        <f t="shared" si="29"/>
        <v>45000</v>
      </c>
      <c r="BG36" s="392">
        <f t="shared" si="20"/>
        <v>500000</v>
      </c>
      <c r="BH36" s="392">
        <v>0</v>
      </c>
      <c r="BI36" s="392">
        <v>0</v>
      </c>
      <c r="BJ36" s="195"/>
      <c r="BK36" s="396"/>
      <c r="BL36" s="396">
        <f t="shared" si="21"/>
        <v>0</v>
      </c>
      <c r="BM36" s="394">
        <v>975000</v>
      </c>
      <c r="BN36" s="396"/>
      <c r="BO36" s="397"/>
      <c r="BP36" s="398">
        <f t="shared" si="25"/>
        <v>1520000</v>
      </c>
      <c r="BQ36" s="399"/>
      <c r="BR36" s="393"/>
      <c r="BS36" s="400">
        <f t="shared" si="22"/>
        <v>2715000</v>
      </c>
      <c r="BT36" s="405">
        <v>7168912999</v>
      </c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401"/>
      <c r="CK36" s="401"/>
      <c r="CL36" s="401"/>
      <c r="CM36" s="401"/>
      <c r="CN36" s="401"/>
      <c r="CO36" s="401"/>
      <c r="CP36" s="401"/>
      <c r="CQ36" s="401"/>
      <c r="CR36" s="401"/>
      <c r="CS36" s="401"/>
      <c r="CT36" s="401"/>
      <c r="CU36" s="401"/>
      <c r="CV36" s="401"/>
      <c r="CW36" s="401"/>
      <c r="CX36" s="401"/>
      <c r="CY36" s="401"/>
      <c r="CZ36" s="401"/>
      <c r="DA36" s="401"/>
      <c r="DB36" s="401"/>
      <c r="DC36" s="401"/>
      <c r="DD36" s="401"/>
      <c r="DE36" s="401"/>
      <c r="DF36" s="401"/>
      <c r="DG36" s="401"/>
      <c r="DH36" s="401"/>
      <c r="DI36" s="401"/>
      <c r="DJ36" s="401"/>
      <c r="DK36" s="401"/>
      <c r="DL36" s="401"/>
      <c r="DM36" s="401"/>
      <c r="DN36" s="401"/>
      <c r="DO36" s="401"/>
      <c r="DP36" s="401"/>
      <c r="DQ36" s="401"/>
      <c r="DR36" s="401"/>
      <c r="DS36" s="401"/>
      <c r="DT36" s="401"/>
      <c r="DU36" s="401"/>
      <c r="DV36" s="401"/>
      <c r="DW36" s="401"/>
      <c r="DX36" s="401"/>
      <c r="DY36" s="401"/>
      <c r="DZ36" s="401"/>
      <c r="EA36" s="401"/>
      <c r="EB36" s="401"/>
      <c r="EC36" s="401"/>
      <c r="ED36" s="401"/>
      <c r="EE36" s="401"/>
      <c r="EF36" s="401"/>
      <c r="EG36" s="401"/>
      <c r="EH36" s="401"/>
      <c r="EI36" s="401"/>
      <c r="EJ36" s="401"/>
      <c r="EK36" s="401"/>
      <c r="EL36" s="401"/>
      <c r="EM36" s="401"/>
      <c r="EN36" s="401"/>
      <c r="EO36" s="401"/>
      <c r="EP36" s="401"/>
      <c r="EQ36" s="401"/>
      <c r="ER36" s="401"/>
      <c r="ES36" s="401"/>
      <c r="ET36" s="401"/>
      <c r="EU36" s="401"/>
      <c r="EV36" s="401"/>
      <c r="EW36" s="401"/>
      <c r="EX36" s="401"/>
      <c r="EY36" s="401"/>
      <c r="EZ36" s="401"/>
      <c r="FA36" s="401"/>
      <c r="FB36" s="401"/>
      <c r="FC36" s="401"/>
      <c r="FD36" s="401"/>
      <c r="FE36" s="401"/>
      <c r="FF36" s="401"/>
      <c r="FG36" s="401"/>
      <c r="FH36" s="401"/>
      <c r="FI36" s="401"/>
      <c r="FJ36" s="401"/>
      <c r="FK36" s="401"/>
      <c r="FL36" s="401"/>
      <c r="FM36" s="401"/>
      <c r="FN36" s="401"/>
      <c r="FO36" s="401"/>
      <c r="FP36" s="401"/>
      <c r="FQ36" s="401"/>
      <c r="FR36" s="401"/>
      <c r="FS36" s="401"/>
      <c r="FT36" s="401"/>
      <c r="FU36" s="401"/>
      <c r="FV36" s="401"/>
      <c r="FW36" s="401"/>
      <c r="FX36" s="401"/>
      <c r="FY36" s="401"/>
      <c r="FZ36" s="401"/>
      <c r="GA36" s="401"/>
      <c r="GB36" s="401"/>
      <c r="GC36" s="401"/>
      <c r="GD36" s="401"/>
      <c r="GE36" s="401"/>
      <c r="GF36" s="401"/>
      <c r="GG36" s="401"/>
      <c r="GH36" s="401"/>
      <c r="GI36" s="401"/>
      <c r="GJ36" s="401"/>
      <c r="GK36" s="401"/>
      <c r="GL36" s="401"/>
      <c r="GM36" s="401"/>
      <c r="GN36" s="401"/>
      <c r="GO36" s="401"/>
      <c r="GP36" s="401"/>
      <c r="GQ36" s="401"/>
      <c r="GR36" s="401"/>
      <c r="GS36" s="401"/>
      <c r="GT36" s="401"/>
      <c r="GU36" s="401"/>
      <c r="GV36" s="401"/>
      <c r="GW36" s="401"/>
      <c r="GX36" s="401"/>
      <c r="GY36" s="401"/>
      <c r="GZ36" s="401"/>
      <c r="HA36" s="401"/>
      <c r="HB36" s="401"/>
      <c r="HC36" s="401"/>
      <c r="HD36" s="401"/>
      <c r="HE36" s="401"/>
      <c r="HF36" s="401"/>
      <c r="HG36" s="401"/>
      <c r="HH36" s="401"/>
      <c r="HI36" s="401"/>
      <c r="HJ36" s="401"/>
      <c r="HK36" s="401"/>
      <c r="HL36" s="401"/>
      <c r="HM36" s="401"/>
      <c r="HN36" s="401"/>
      <c r="HO36" s="401"/>
      <c r="HP36" s="401"/>
      <c r="HQ36" s="401"/>
      <c r="HR36" s="401"/>
      <c r="HS36" s="401"/>
      <c r="HT36" s="401"/>
      <c r="HU36" s="401"/>
      <c r="HV36" s="401"/>
      <c r="HW36" s="401"/>
      <c r="HX36" s="401"/>
      <c r="HY36" s="401"/>
      <c r="HZ36" s="401"/>
      <c r="IA36" s="401"/>
      <c r="IB36" s="401"/>
      <c r="IC36" s="401"/>
      <c r="ID36" s="401"/>
      <c r="IE36" s="401"/>
      <c r="IF36" s="401"/>
      <c r="IG36" s="401"/>
      <c r="IH36" s="401"/>
      <c r="II36" s="401"/>
      <c r="IJ36" s="401"/>
      <c r="IK36" s="401"/>
      <c r="IL36" s="401"/>
      <c r="IM36" s="401"/>
      <c r="IN36" s="401"/>
      <c r="IO36" s="401"/>
      <c r="IP36" s="401"/>
      <c r="IQ36" s="401"/>
      <c r="IR36" s="401"/>
      <c r="IS36" s="401"/>
      <c r="IT36" s="401"/>
      <c r="IU36" s="401"/>
      <c r="IV36" s="401"/>
      <c r="IW36" s="401"/>
      <c r="IX36" s="401"/>
      <c r="IY36" s="401"/>
      <c r="IZ36" s="401"/>
      <c r="JA36" s="401"/>
      <c r="JB36" s="401"/>
      <c r="JC36" s="401"/>
      <c r="JD36" s="401"/>
      <c r="JE36" s="401"/>
      <c r="JF36" s="401"/>
      <c r="JG36" s="401"/>
      <c r="JH36" s="401"/>
      <c r="JI36" s="401"/>
      <c r="JJ36" s="401"/>
      <c r="JK36" s="401"/>
      <c r="JL36" s="401"/>
      <c r="JM36" s="401"/>
      <c r="JN36" s="401"/>
      <c r="JO36" s="401"/>
      <c r="JP36" s="401"/>
      <c r="JQ36" s="401"/>
      <c r="JR36" s="401"/>
      <c r="JS36" s="401"/>
      <c r="JT36" s="401"/>
      <c r="JU36" s="401"/>
      <c r="JV36" s="401"/>
      <c r="JW36" s="401"/>
      <c r="JX36" s="401"/>
      <c r="JY36" s="401"/>
      <c r="JZ36" s="401"/>
      <c r="KA36" s="401"/>
      <c r="KB36" s="401"/>
      <c r="KC36" s="401"/>
      <c r="KD36" s="401"/>
      <c r="KE36" s="401"/>
      <c r="KF36" s="401"/>
      <c r="KG36" s="401"/>
      <c r="KH36" s="401"/>
      <c r="KI36" s="401"/>
      <c r="KJ36" s="401"/>
      <c r="KK36" s="401"/>
      <c r="KL36" s="401"/>
      <c r="KM36" s="401"/>
      <c r="KN36" s="401"/>
      <c r="KO36" s="401"/>
      <c r="KP36" s="401"/>
      <c r="KQ36" s="401"/>
      <c r="KR36" s="401"/>
      <c r="KS36" s="401"/>
      <c r="KT36" s="401"/>
      <c r="KU36" s="401"/>
      <c r="KV36" s="401"/>
      <c r="KW36" s="401"/>
      <c r="KX36" s="401"/>
      <c r="KY36" s="401"/>
      <c r="KZ36" s="401"/>
      <c r="LA36" s="401"/>
      <c r="LB36" s="401"/>
      <c r="LC36" s="401"/>
      <c r="LD36" s="401"/>
      <c r="LE36" s="401"/>
      <c r="LF36" s="401"/>
      <c r="LG36" s="401"/>
      <c r="LH36" s="401"/>
      <c r="LI36" s="401"/>
      <c r="LJ36" s="401"/>
      <c r="LK36" s="401"/>
      <c r="LL36" s="401"/>
      <c r="LM36" s="401"/>
      <c r="LN36" s="401"/>
      <c r="LO36" s="401"/>
      <c r="LP36" s="401"/>
      <c r="LQ36" s="401"/>
      <c r="LR36" s="401"/>
      <c r="LS36" s="401"/>
      <c r="LT36" s="401"/>
      <c r="LU36" s="401"/>
      <c r="LV36" s="401"/>
      <c r="LW36" s="401"/>
      <c r="LX36" s="401"/>
      <c r="LY36" s="401"/>
      <c r="LZ36" s="401"/>
      <c r="MA36" s="401"/>
      <c r="MB36" s="401"/>
      <c r="MC36" s="401"/>
      <c r="MD36" s="401"/>
      <c r="ME36" s="401"/>
      <c r="MF36" s="401"/>
      <c r="MG36" s="401"/>
      <c r="MH36" s="401"/>
      <c r="MI36" s="401"/>
      <c r="MJ36" s="401"/>
      <c r="MK36" s="401"/>
      <c r="ML36" s="401"/>
      <c r="MM36" s="401"/>
      <c r="MN36" s="401"/>
      <c r="MO36" s="401"/>
      <c r="MP36" s="401"/>
      <c r="MQ36" s="401"/>
      <c r="MR36" s="401"/>
      <c r="MS36" s="401"/>
      <c r="MT36" s="401"/>
      <c r="MU36" s="401"/>
      <c r="MV36" s="401"/>
      <c r="MW36" s="401"/>
      <c r="MX36" s="401"/>
      <c r="MY36" s="401"/>
      <c r="MZ36" s="401"/>
      <c r="NA36" s="401"/>
      <c r="NB36" s="401"/>
      <c r="NC36" s="401"/>
      <c r="ND36" s="401"/>
      <c r="NE36" s="401"/>
      <c r="NF36" s="401"/>
      <c r="NG36" s="401"/>
      <c r="NH36" s="401"/>
      <c r="NI36" s="401"/>
      <c r="NJ36" s="401"/>
      <c r="NK36" s="401"/>
      <c r="NL36" s="401"/>
      <c r="NM36" s="401"/>
      <c r="NN36" s="401"/>
      <c r="NO36" s="401"/>
      <c r="NP36" s="401"/>
      <c r="NQ36" s="401"/>
      <c r="NR36" s="401"/>
      <c r="NS36" s="401"/>
      <c r="NT36" s="401"/>
      <c r="NU36" s="401"/>
      <c r="NV36" s="401"/>
      <c r="NW36" s="401"/>
      <c r="NX36" s="401"/>
      <c r="NY36" s="401"/>
      <c r="NZ36" s="401"/>
      <c r="OA36" s="401"/>
      <c r="OB36" s="401"/>
      <c r="OC36" s="401"/>
      <c r="OD36" s="401"/>
      <c r="OE36" s="401"/>
      <c r="OF36" s="401"/>
      <c r="OG36" s="401"/>
      <c r="OH36" s="401"/>
      <c r="OI36" s="401"/>
      <c r="OJ36" s="401"/>
      <c r="OK36" s="401"/>
      <c r="OL36" s="401"/>
      <c r="OM36" s="401"/>
      <c r="ON36" s="401"/>
      <c r="OO36" s="401"/>
      <c r="OP36" s="401"/>
      <c r="OQ36" s="401"/>
      <c r="OR36" s="401"/>
      <c r="OS36" s="401"/>
      <c r="OT36" s="401"/>
      <c r="OU36" s="401"/>
      <c r="OV36" s="401"/>
      <c r="OW36" s="401"/>
      <c r="OX36" s="401"/>
      <c r="OY36" s="401"/>
      <c r="OZ36" s="401"/>
      <c r="PA36" s="401"/>
      <c r="PB36" s="401"/>
      <c r="PC36" s="401"/>
      <c r="PD36" s="401"/>
      <c r="PE36" s="401"/>
      <c r="PF36" s="401"/>
      <c r="PG36" s="401"/>
      <c r="PH36" s="401"/>
      <c r="PI36" s="401"/>
      <c r="PJ36" s="401"/>
      <c r="PK36" s="401"/>
      <c r="PL36" s="401"/>
      <c r="PM36" s="401"/>
      <c r="PN36" s="401"/>
      <c r="PO36" s="401"/>
      <c r="PP36" s="401"/>
      <c r="PQ36" s="401"/>
      <c r="PR36" s="401"/>
      <c r="PS36" s="401"/>
      <c r="PT36" s="401"/>
      <c r="PU36" s="401"/>
      <c r="PV36" s="401"/>
      <c r="PW36" s="401"/>
      <c r="PX36" s="401"/>
      <c r="PY36" s="401"/>
      <c r="PZ36" s="401"/>
      <c r="QA36" s="401"/>
      <c r="QB36" s="401"/>
      <c r="QC36" s="401"/>
      <c r="QD36" s="401"/>
      <c r="QE36" s="401"/>
      <c r="QF36" s="401"/>
      <c r="QG36" s="401"/>
      <c r="QH36" s="401"/>
      <c r="QI36" s="401"/>
      <c r="QJ36" s="401"/>
      <c r="QK36" s="401"/>
      <c r="QL36" s="401"/>
      <c r="QM36" s="401"/>
      <c r="QN36" s="401"/>
      <c r="QO36" s="401"/>
      <c r="QP36" s="401"/>
      <c r="QQ36" s="401"/>
      <c r="QR36" s="401"/>
      <c r="QS36" s="401"/>
      <c r="QT36" s="401"/>
      <c r="QU36" s="401"/>
      <c r="QV36" s="401"/>
      <c r="QW36" s="401"/>
      <c r="QX36" s="401"/>
      <c r="QY36" s="401"/>
      <c r="QZ36" s="401"/>
      <c r="RA36" s="401"/>
      <c r="RB36" s="401"/>
      <c r="RC36" s="401"/>
      <c r="RD36" s="401"/>
      <c r="RE36" s="401"/>
      <c r="RF36" s="401"/>
      <c r="RG36" s="401"/>
      <c r="RH36" s="401"/>
      <c r="RI36" s="401"/>
      <c r="RJ36" s="401"/>
      <c r="RK36" s="401"/>
      <c r="RL36" s="401"/>
      <c r="RM36" s="401"/>
      <c r="RN36" s="401"/>
      <c r="RO36" s="401"/>
      <c r="RP36" s="401"/>
      <c r="RQ36" s="401"/>
      <c r="RR36" s="401"/>
      <c r="RS36" s="401"/>
      <c r="RT36" s="401"/>
      <c r="RU36" s="401"/>
      <c r="RV36" s="401"/>
      <c r="RW36" s="401"/>
      <c r="RX36" s="401"/>
      <c r="RY36" s="401"/>
      <c r="RZ36" s="401"/>
      <c r="SA36" s="401"/>
      <c r="SB36" s="401"/>
      <c r="SC36" s="401"/>
      <c r="SD36" s="401"/>
      <c r="SE36" s="401"/>
      <c r="SF36" s="401"/>
      <c r="SG36" s="401"/>
      <c r="SH36" s="401"/>
      <c r="SI36" s="401"/>
      <c r="SJ36" s="401"/>
      <c r="SK36" s="401"/>
      <c r="SL36" s="401"/>
      <c r="SM36" s="401"/>
      <c r="SN36" s="401"/>
      <c r="SO36" s="401"/>
      <c r="SP36" s="401"/>
      <c r="SQ36" s="401"/>
      <c r="SR36" s="401"/>
      <c r="SS36" s="401"/>
      <c r="ST36" s="401"/>
      <c r="SU36" s="401"/>
      <c r="SV36" s="401"/>
      <c r="SW36" s="401"/>
      <c r="SX36" s="401"/>
      <c r="SY36" s="401"/>
      <c r="SZ36" s="401"/>
      <c r="TA36" s="401"/>
      <c r="TB36" s="401"/>
      <c r="TC36" s="401"/>
      <c r="TD36" s="401"/>
      <c r="TE36" s="401"/>
      <c r="TF36" s="401"/>
      <c r="TG36" s="401"/>
      <c r="TH36" s="401"/>
      <c r="TI36" s="401"/>
      <c r="TJ36" s="401"/>
      <c r="TK36" s="401"/>
      <c r="TL36" s="401"/>
      <c r="TM36" s="401"/>
      <c r="TN36" s="401"/>
      <c r="TO36" s="401"/>
      <c r="TP36" s="401"/>
      <c r="TQ36" s="401"/>
      <c r="TR36" s="401"/>
      <c r="TS36" s="401"/>
      <c r="TT36" s="401"/>
      <c r="TU36" s="401"/>
      <c r="TV36" s="401"/>
      <c r="TW36" s="401"/>
      <c r="TX36" s="401"/>
      <c r="TY36" s="401"/>
      <c r="TZ36" s="401"/>
      <c r="UA36" s="401"/>
      <c r="UB36" s="401"/>
      <c r="UC36" s="401"/>
      <c r="UD36" s="401"/>
      <c r="UE36" s="401"/>
      <c r="UF36" s="401"/>
      <c r="UG36" s="401"/>
      <c r="UH36" s="401"/>
      <c r="UI36" s="401"/>
      <c r="UJ36" s="401"/>
      <c r="UK36" s="401"/>
      <c r="UL36" s="401"/>
      <c r="UM36" s="401"/>
      <c r="UN36" s="401"/>
      <c r="UO36" s="401"/>
      <c r="UP36" s="401"/>
      <c r="UQ36" s="401"/>
      <c r="UR36" s="401"/>
      <c r="US36" s="401"/>
      <c r="UT36" s="401"/>
      <c r="UU36" s="401"/>
      <c r="UV36" s="401"/>
      <c r="UW36" s="401"/>
      <c r="UX36" s="401"/>
      <c r="UY36" s="401"/>
      <c r="UZ36" s="401"/>
      <c r="VA36" s="401"/>
      <c r="VB36" s="401"/>
      <c r="VC36" s="401"/>
      <c r="VD36" s="401"/>
      <c r="VE36" s="401"/>
      <c r="VF36" s="401"/>
      <c r="VG36" s="401"/>
      <c r="VH36" s="401"/>
      <c r="VI36" s="401"/>
      <c r="VJ36" s="401"/>
      <c r="VK36" s="401"/>
      <c r="VL36" s="401"/>
      <c r="VM36" s="401"/>
      <c r="VN36" s="401"/>
      <c r="VO36" s="401"/>
      <c r="VP36" s="401"/>
      <c r="VQ36" s="401"/>
      <c r="VR36" s="401"/>
      <c r="VS36" s="401"/>
      <c r="VT36" s="401"/>
      <c r="VU36" s="401"/>
      <c r="VV36" s="401"/>
      <c r="VW36" s="401"/>
      <c r="VX36" s="401"/>
      <c r="VY36" s="401"/>
      <c r="VZ36" s="401"/>
      <c r="WA36" s="401"/>
      <c r="WB36" s="401"/>
      <c r="WC36" s="401"/>
      <c r="WD36" s="401"/>
      <c r="WE36" s="401"/>
      <c r="WF36" s="401"/>
      <c r="WG36" s="401"/>
      <c r="WH36" s="401"/>
      <c r="WI36" s="401"/>
      <c r="WJ36" s="401"/>
      <c r="WK36" s="401"/>
      <c r="WL36" s="401"/>
      <c r="WM36" s="401"/>
      <c r="WN36" s="401"/>
      <c r="WO36" s="401"/>
      <c r="WP36" s="401"/>
      <c r="WQ36" s="401"/>
      <c r="WR36" s="401"/>
      <c r="WS36" s="401"/>
      <c r="WT36" s="401"/>
      <c r="WU36" s="401"/>
      <c r="WV36" s="401"/>
      <c r="WW36" s="401"/>
      <c r="WX36" s="401"/>
      <c r="WY36" s="401"/>
      <c r="WZ36" s="401"/>
      <c r="XA36" s="401"/>
      <c r="XB36" s="401"/>
      <c r="XC36" s="401"/>
      <c r="XD36" s="401"/>
      <c r="XE36" s="401"/>
      <c r="XF36" s="401"/>
      <c r="XG36" s="401"/>
      <c r="XH36" s="401"/>
      <c r="XI36" s="401"/>
      <c r="XJ36" s="401"/>
      <c r="XK36" s="401"/>
      <c r="XL36" s="401"/>
      <c r="XM36" s="401"/>
      <c r="XN36" s="401"/>
      <c r="XO36" s="401"/>
      <c r="XP36" s="401"/>
      <c r="XQ36" s="401"/>
      <c r="XR36" s="401"/>
      <c r="XS36" s="401"/>
      <c r="XT36" s="401"/>
      <c r="XU36" s="401"/>
      <c r="XV36" s="401"/>
      <c r="XW36" s="401"/>
      <c r="XX36" s="401"/>
      <c r="XY36" s="401"/>
      <c r="XZ36" s="401"/>
      <c r="YA36" s="401"/>
      <c r="YB36" s="401"/>
      <c r="YC36" s="401"/>
      <c r="YD36" s="401"/>
      <c r="YE36" s="401"/>
      <c r="YF36" s="401"/>
      <c r="YG36" s="401"/>
      <c r="YH36" s="401"/>
      <c r="YI36" s="401"/>
      <c r="YJ36" s="401"/>
      <c r="YK36" s="401"/>
      <c r="YL36" s="401"/>
      <c r="YM36" s="401"/>
      <c r="YN36" s="401"/>
      <c r="YO36" s="401"/>
      <c r="YP36" s="401"/>
      <c r="YQ36" s="401"/>
      <c r="YR36" s="401"/>
      <c r="YS36" s="401"/>
      <c r="YT36" s="401"/>
      <c r="YU36" s="401"/>
      <c r="YV36" s="401"/>
      <c r="YW36" s="401"/>
      <c r="YX36" s="401"/>
      <c r="YY36" s="401"/>
      <c r="YZ36" s="401"/>
      <c r="ZA36" s="401"/>
      <c r="ZB36" s="401"/>
      <c r="ZC36" s="401"/>
      <c r="ZD36" s="401"/>
      <c r="ZE36" s="401"/>
      <c r="ZF36" s="401"/>
      <c r="ZG36" s="401"/>
      <c r="ZH36" s="401"/>
      <c r="ZI36" s="401"/>
      <c r="ZJ36" s="401"/>
      <c r="ZK36" s="401"/>
      <c r="ZL36" s="401"/>
      <c r="ZM36" s="401"/>
      <c r="ZN36" s="401"/>
      <c r="ZO36" s="401"/>
      <c r="ZP36" s="401"/>
      <c r="ZQ36" s="401"/>
      <c r="ZR36" s="401"/>
      <c r="ZS36" s="401"/>
      <c r="ZT36" s="401"/>
      <c r="ZU36" s="401"/>
      <c r="ZV36" s="401"/>
      <c r="ZW36" s="401"/>
      <c r="ZX36" s="401"/>
      <c r="ZY36" s="401"/>
      <c r="ZZ36" s="401"/>
      <c r="AAA36" s="401"/>
      <c r="AAB36" s="401"/>
      <c r="AAC36" s="401"/>
      <c r="AAD36" s="401"/>
      <c r="AAE36" s="401"/>
      <c r="AAF36" s="401"/>
      <c r="AAG36" s="401"/>
      <c r="AAH36" s="401"/>
      <c r="AAI36" s="401"/>
      <c r="AAJ36" s="401"/>
      <c r="AAK36" s="401"/>
      <c r="AAL36" s="401"/>
      <c r="AAM36" s="401"/>
      <c r="AAN36" s="401"/>
      <c r="AAO36" s="401"/>
      <c r="AAP36" s="401"/>
      <c r="AAQ36" s="401"/>
      <c r="AAR36" s="401"/>
      <c r="AAS36" s="401"/>
      <c r="AAT36" s="401"/>
      <c r="AAU36" s="401"/>
      <c r="AAV36" s="401"/>
      <c r="AAW36" s="401"/>
      <c r="AAX36" s="401"/>
      <c r="AAY36" s="401"/>
      <c r="AAZ36" s="401"/>
      <c r="ABA36" s="401"/>
      <c r="ABB36" s="401"/>
      <c r="ABC36" s="401"/>
      <c r="ABD36" s="401"/>
      <c r="ABE36" s="401"/>
      <c r="ABF36" s="401"/>
      <c r="ABG36" s="401"/>
      <c r="ABH36" s="401"/>
      <c r="ABI36" s="401"/>
      <c r="ABJ36" s="401"/>
      <c r="ABK36" s="401"/>
      <c r="ABL36" s="401"/>
      <c r="ABM36" s="401"/>
      <c r="ABN36" s="401"/>
      <c r="ABO36" s="401"/>
      <c r="ABP36" s="401"/>
      <c r="ABQ36" s="401"/>
      <c r="ABR36" s="401"/>
      <c r="ABS36" s="401"/>
      <c r="ABT36" s="401"/>
      <c r="ABU36" s="401"/>
      <c r="ABV36" s="401"/>
      <c r="ABW36" s="401"/>
      <c r="ABX36" s="401"/>
      <c r="ABY36" s="401"/>
      <c r="ABZ36" s="401"/>
      <c r="ACA36" s="401"/>
      <c r="ACB36" s="401"/>
      <c r="ACC36" s="401"/>
      <c r="ACD36" s="401"/>
      <c r="ACE36" s="401"/>
      <c r="ACF36" s="401"/>
      <c r="ACG36" s="401"/>
      <c r="ACH36" s="401"/>
      <c r="ACI36" s="401"/>
      <c r="ACJ36" s="401"/>
      <c r="ACK36" s="401"/>
      <c r="ACL36" s="401"/>
      <c r="ACM36" s="401"/>
      <c r="ACN36" s="401"/>
      <c r="ACO36" s="401"/>
      <c r="ACP36" s="401"/>
      <c r="ACQ36" s="401"/>
      <c r="ACR36" s="401"/>
      <c r="ACS36" s="401"/>
      <c r="ACT36" s="401"/>
      <c r="ACU36" s="401"/>
      <c r="ACV36" s="401"/>
      <c r="ACW36" s="401"/>
      <c r="ACX36" s="401"/>
      <c r="ACY36" s="401"/>
      <c r="ACZ36" s="401"/>
      <c r="ADA36" s="401"/>
      <c r="ADB36" s="401"/>
      <c r="ADC36" s="401"/>
      <c r="ADD36" s="401"/>
      <c r="ADE36" s="401"/>
      <c r="ADF36" s="401"/>
      <c r="ADG36" s="401"/>
      <c r="ADH36" s="401"/>
      <c r="ADI36" s="401"/>
      <c r="ADJ36" s="401"/>
      <c r="ADK36" s="401"/>
      <c r="ADL36" s="401"/>
      <c r="ADM36" s="401"/>
      <c r="ADN36" s="401"/>
      <c r="ADO36" s="401"/>
      <c r="ADP36" s="401"/>
      <c r="ADQ36" s="401"/>
      <c r="ADR36" s="401"/>
      <c r="ADS36" s="401"/>
      <c r="ADT36" s="401"/>
      <c r="ADU36" s="401"/>
      <c r="ADV36" s="401"/>
      <c r="ADW36" s="401"/>
      <c r="ADX36" s="401"/>
      <c r="ADY36" s="401"/>
      <c r="ADZ36" s="401"/>
      <c r="AEA36" s="401"/>
      <c r="AEB36" s="401"/>
      <c r="AEC36" s="401"/>
      <c r="AED36" s="401"/>
      <c r="AEE36" s="401"/>
      <c r="AEF36" s="401"/>
      <c r="AEG36" s="401"/>
      <c r="AEH36" s="401"/>
      <c r="AEI36" s="401"/>
      <c r="AEJ36" s="401"/>
      <c r="AEK36" s="401"/>
      <c r="AEL36" s="401"/>
      <c r="AEM36" s="401"/>
      <c r="AEN36" s="401"/>
      <c r="AEO36" s="401"/>
      <c r="AEP36" s="401"/>
      <c r="AEQ36" s="401"/>
      <c r="AER36" s="401"/>
      <c r="AES36" s="401"/>
      <c r="AET36" s="401"/>
      <c r="AEU36" s="401"/>
      <c r="AEV36" s="401"/>
      <c r="AEW36" s="401"/>
      <c r="AEX36" s="401"/>
      <c r="AEY36" s="401"/>
      <c r="AEZ36" s="401"/>
      <c r="AFA36" s="401"/>
      <c r="AFB36" s="401"/>
      <c r="AFC36" s="401"/>
      <c r="AFD36" s="401"/>
      <c r="AFE36" s="401"/>
      <c r="AFF36" s="401"/>
      <c r="AFG36" s="401"/>
      <c r="AFH36" s="401"/>
      <c r="AFI36" s="401"/>
      <c r="AFJ36" s="401"/>
      <c r="AFK36" s="401"/>
      <c r="AFL36" s="401"/>
      <c r="AFM36" s="401"/>
      <c r="AFN36" s="401"/>
      <c r="AFO36" s="401"/>
      <c r="AFP36" s="401"/>
      <c r="AFQ36" s="401"/>
      <c r="AFR36" s="401"/>
      <c r="AFS36" s="401"/>
      <c r="AFT36" s="401"/>
      <c r="AFU36" s="401"/>
      <c r="AFV36" s="401"/>
      <c r="AFW36" s="401"/>
      <c r="AFX36" s="401"/>
      <c r="AFY36" s="401"/>
      <c r="AFZ36" s="401"/>
      <c r="AGA36" s="401"/>
      <c r="AGB36" s="401"/>
      <c r="AGC36" s="401"/>
      <c r="AGD36" s="401"/>
      <c r="AGE36" s="401"/>
      <c r="AGF36" s="401"/>
      <c r="AGG36" s="401"/>
      <c r="AGH36" s="401"/>
      <c r="AGI36" s="401"/>
      <c r="AGJ36" s="401"/>
      <c r="AGK36" s="401"/>
      <c r="AGL36" s="401"/>
      <c r="AGM36" s="401"/>
      <c r="AGN36" s="401"/>
      <c r="AGO36" s="401"/>
      <c r="AGP36" s="401"/>
      <c r="AGQ36" s="401"/>
      <c r="AGR36" s="401"/>
      <c r="AGS36" s="401"/>
      <c r="AGT36" s="401"/>
      <c r="AGU36" s="401"/>
      <c r="AGV36" s="401"/>
      <c r="AGW36" s="401"/>
      <c r="AGX36" s="401"/>
      <c r="AGY36" s="401"/>
      <c r="AGZ36" s="401"/>
      <c r="AHA36" s="401"/>
      <c r="AHB36" s="401"/>
      <c r="AHC36" s="401"/>
      <c r="AHD36" s="401"/>
      <c r="AHE36" s="401"/>
      <c r="AHF36" s="401"/>
      <c r="AHG36" s="401"/>
      <c r="AHH36" s="401"/>
      <c r="AHI36" s="401"/>
      <c r="AHJ36" s="401"/>
      <c r="AHK36" s="401"/>
      <c r="AHL36" s="401"/>
      <c r="AHM36" s="401"/>
      <c r="AHN36" s="401"/>
      <c r="AHO36" s="401"/>
      <c r="AHP36" s="401"/>
      <c r="AHQ36" s="401"/>
      <c r="AHR36" s="401"/>
      <c r="AHS36" s="401"/>
      <c r="AHT36" s="401"/>
      <c r="AHU36" s="401"/>
      <c r="AHV36" s="401"/>
      <c r="AHW36" s="401"/>
      <c r="AHX36" s="401"/>
      <c r="AHY36" s="401"/>
      <c r="AHZ36" s="401"/>
      <c r="AIA36" s="401"/>
      <c r="AIB36" s="401"/>
      <c r="AIC36" s="401"/>
      <c r="AID36" s="401"/>
      <c r="AIE36" s="401"/>
      <c r="AIF36" s="401"/>
      <c r="AIG36" s="401"/>
      <c r="AIH36" s="401"/>
      <c r="AII36" s="401"/>
      <c r="AIJ36" s="401"/>
      <c r="AIK36" s="401"/>
      <c r="AIL36" s="401"/>
      <c r="AIM36" s="401"/>
      <c r="AIN36" s="401"/>
      <c r="AIO36" s="401"/>
      <c r="AIP36" s="401"/>
      <c r="AIQ36" s="401"/>
      <c r="AIR36" s="401"/>
      <c r="AIS36" s="401"/>
      <c r="AIT36" s="401"/>
      <c r="AIU36" s="401"/>
      <c r="AIV36" s="401"/>
      <c r="AIW36" s="401"/>
      <c r="AIX36" s="401"/>
      <c r="AIY36" s="401"/>
      <c r="AIZ36" s="401"/>
      <c r="AJA36" s="401"/>
      <c r="AJB36" s="401"/>
      <c r="AJC36" s="401"/>
      <c r="AJD36" s="401"/>
      <c r="AJE36" s="401"/>
      <c r="AJF36" s="401"/>
      <c r="AJG36" s="401"/>
      <c r="AJH36" s="401"/>
      <c r="AJI36" s="401"/>
      <c r="AJJ36" s="401"/>
      <c r="AJK36" s="401"/>
      <c r="AJL36" s="401"/>
      <c r="AJM36" s="401"/>
      <c r="AJN36" s="401"/>
      <c r="AJO36" s="401"/>
      <c r="AJP36" s="401"/>
      <c r="AJQ36" s="401"/>
      <c r="AJR36" s="401"/>
      <c r="AJS36" s="401"/>
      <c r="AJT36" s="401"/>
      <c r="AJU36" s="401"/>
      <c r="AJV36" s="401"/>
      <c r="AJW36" s="401"/>
      <c r="AJX36" s="401"/>
      <c r="AJY36" s="401"/>
      <c r="AJZ36" s="401"/>
      <c r="AKA36" s="401"/>
      <c r="AKB36" s="401"/>
      <c r="AKC36" s="401"/>
      <c r="AKD36" s="401"/>
      <c r="AKE36" s="401"/>
      <c r="AKF36" s="401"/>
      <c r="AKG36" s="401"/>
      <c r="AKH36" s="401"/>
      <c r="AKI36" s="401"/>
      <c r="AKJ36" s="401"/>
      <c r="AKK36" s="401"/>
      <c r="AKL36" s="401"/>
      <c r="AKM36" s="401"/>
      <c r="AKN36" s="401"/>
      <c r="AKO36" s="401"/>
      <c r="AKP36" s="401"/>
      <c r="AKQ36" s="401"/>
      <c r="AKR36" s="401"/>
      <c r="AKS36" s="401"/>
      <c r="AKT36" s="401"/>
      <c r="AKU36" s="401"/>
      <c r="AKV36" s="401"/>
      <c r="AKW36" s="401"/>
      <c r="AKX36" s="401"/>
      <c r="AKY36" s="401"/>
      <c r="AKZ36" s="401"/>
      <c r="ALA36" s="401"/>
      <c r="ALB36" s="401"/>
      <c r="ALC36" s="401"/>
      <c r="ALD36" s="401"/>
      <c r="ALE36" s="401"/>
      <c r="ALF36" s="401"/>
      <c r="ALG36" s="401"/>
      <c r="ALH36" s="401"/>
      <c r="ALI36" s="401"/>
      <c r="ALJ36" s="401"/>
      <c r="ALK36" s="401"/>
      <c r="ALL36" s="401"/>
      <c r="ALM36" s="401"/>
      <c r="ALN36" s="401"/>
      <c r="ALO36" s="401"/>
      <c r="ALP36" s="401"/>
      <c r="ALQ36" s="401"/>
      <c r="ALR36" s="401"/>
      <c r="ALS36" s="401"/>
      <c r="ALT36" s="401"/>
      <c r="ALU36" s="401"/>
      <c r="ALV36" s="401"/>
      <c r="ALW36" s="401"/>
      <c r="ALX36" s="401"/>
      <c r="ALY36" s="401"/>
      <c r="ALZ36" s="401"/>
      <c r="AMA36" s="401"/>
      <c r="AMB36" s="401"/>
      <c r="AMC36" s="401"/>
    </row>
    <row r="37" spans="1:1017" x14ac:dyDescent="0.45">
      <c r="A37" s="182">
        <v>31</v>
      </c>
      <c r="B37" s="252" t="s">
        <v>248</v>
      </c>
      <c r="C37" s="240" t="s">
        <v>1031</v>
      </c>
      <c r="D37" s="295" t="s">
        <v>935</v>
      </c>
      <c r="E37" s="403" t="s">
        <v>81</v>
      </c>
      <c r="F37" s="185" t="s">
        <v>307</v>
      </c>
      <c r="G37" s="278" t="s">
        <v>727</v>
      </c>
      <c r="H37" s="186" t="s">
        <v>851</v>
      </c>
      <c r="I37" s="340">
        <v>3</v>
      </c>
      <c r="J37" s="145" t="s">
        <v>163</v>
      </c>
      <c r="K37" s="145" t="s">
        <v>73</v>
      </c>
      <c r="L37" s="145" t="s">
        <v>84</v>
      </c>
      <c r="M37" s="145" t="s">
        <v>92</v>
      </c>
      <c r="N37" s="188" t="s">
        <v>143</v>
      </c>
      <c r="O37" s="340" t="str">
        <f>VLOOKUP(P37,'TJ. FUNGSIONAL'!$B$4:$C$34,2,0)</f>
        <v>Guru Quran SD</v>
      </c>
      <c r="P37" s="340" t="s">
        <v>177</v>
      </c>
      <c r="Q37" s="376">
        <v>18</v>
      </c>
      <c r="R37" s="376">
        <v>8</v>
      </c>
      <c r="S37" s="376">
        <v>10</v>
      </c>
      <c r="T37" s="436"/>
      <c r="U37" s="370"/>
      <c r="V37" s="370"/>
      <c r="W37" s="442">
        <v>2</v>
      </c>
      <c r="X37" s="265"/>
      <c r="Y37" s="263"/>
      <c r="Z37" s="261"/>
      <c r="AA37" s="370"/>
      <c r="AB37" s="263"/>
      <c r="AC37" s="263"/>
      <c r="AD37" s="263"/>
      <c r="AE37" s="263"/>
      <c r="AF37" s="263"/>
      <c r="AG37" s="263"/>
      <c r="AH37" s="292"/>
      <c r="AI37" s="263"/>
      <c r="AJ37" s="185"/>
      <c r="AK37" s="191">
        <f>VLOOKUP(N37,Gapok!$B$5:$I$94,6,0)</f>
        <v>1350000</v>
      </c>
      <c r="AL37" s="191">
        <f>VLOOKUP(P37,'TJ. FUNGSIONAL'!$B$4:$F$34,5,0)</f>
        <v>900000</v>
      </c>
      <c r="AM37" s="191">
        <f>IF(R37+S37&gt;=Q37,(VLOOKUP(N37,Gapok!$B$5:$I$94,5,0)),((VLOOKUP('PER UNIT'!N37,Gapok!$B$5:$I$94,4,0)*('PER UNIT'!R37+'PER UNIT'!S37))))</f>
        <v>375000</v>
      </c>
      <c r="AN37" s="191">
        <f>VLOOKUP(P37,'TJ. FUNGSIONAL'!$B$4:$E$34,4,0)</f>
        <v>300000</v>
      </c>
      <c r="AO37" s="192">
        <f t="shared" si="16"/>
        <v>150000</v>
      </c>
      <c r="AP37" s="193">
        <v>35000</v>
      </c>
      <c r="AQ37" s="194">
        <f t="shared" si="26"/>
        <v>50000</v>
      </c>
      <c r="AR37" s="195">
        <f t="shared" si="23"/>
        <v>0</v>
      </c>
      <c r="AS37" s="195">
        <f t="shared" si="28"/>
        <v>0</v>
      </c>
      <c r="AT37" s="196"/>
      <c r="AU37" s="96"/>
      <c r="AV37" s="96"/>
      <c r="AW37" s="96"/>
      <c r="AX37" s="96"/>
      <c r="AY37" s="96"/>
      <c r="AZ37" s="96"/>
      <c r="BA37" s="96"/>
      <c r="BB37" s="96">
        <v>975000</v>
      </c>
      <c r="BC37" s="96"/>
      <c r="BD37" s="197">
        <f t="shared" si="24"/>
        <v>4135000</v>
      </c>
      <c r="BE37" s="198">
        <f t="shared" si="18"/>
        <v>0</v>
      </c>
      <c r="BF37" s="195">
        <f t="shared" si="29"/>
        <v>75000</v>
      </c>
      <c r="BG37" s="195">
        <f t="shared" si="20"/>
        <v>0</v>
      </c>
      <c r="BH37" s="195">
        <v>35000</v>
      </c>
      <c r="BI37" s="195">
        <v>0</v>
      </c>
      <c r="BJ37" s="195"/>
      <c r="BK37" s="107"/>
      <c r="BL37" s="107">
        <f t="shared" si="21"/>
        <v>0</v>
      </c>
      <c r="BM37" s="96">
        <v>975000</v>
      </c>
      <c r="BN37" s="107"/>
      <c r="BO37" s="311"/>
      <c r="BP37" s="309">
        <f t="shared" si="25"/>
        <v>1085000</v>
      </c>
      <c r="BQ37" s="199"/>
      <c r="BR37" s="196"/>
      <c r="BS37" s="200">
        <f t="shared" si="22"/>
        <v>3050000</v>
      </c>
      <c r="BT37" s="224">
        <v>7193928166</v>
      </c>
    </row>
    <row r="38" spans="1:1017" x14ac:dyDescent="0.45">
      <c r="A38" s="182">
        <v>32</v>
      </c>
      <c r="B38" s="252" t="s">
        <v>253</v>
      </c>
      <c r="C38" s="240" t="s">
        <v>1032</v>
      </c>
      <c r="D38" s="202" t="s">
        <v>936</v>
      </c>
      <c r="E38" s="251" t="s">
        <v>81</v>
      </c>
      <c r="F38" s="185" t="s">
        <v>394</v>
      </c>
      <c r="G38" s="278" t="s">
        <v>727</v>
      </c>
      <c r="H38" s="186" t="s">
        <v>389</v>
      </c>
      <c r="I38" s="340">
        <v>3</v>
      </c>
      <c r="J38" s="145" t="s">
        <v>163</v>
      </c>
      <c r="K38" s="145" t="s">
        <v>73</v>
      </c>
      <c r="L38" s="145" t="s">
        <v>84</v>
      </c>
      <c r="M38" s="145" t="s">
        <v>92</v>
      </c>
      <c r="N38" s="188" t="s">
        <v>143</v>
      </c>
      <c r="O38" s="340" t="str">
        <f>VLOOKUP(P38,'TJ. FUNGSIONAL'!$B$4:$C$34,2,0)</f>
        <v>Wali Kelas SD</v>
      </c>
      <c r="P38" s="145" t="s">
        <v>158</v>
      </c>
      <c r="Q38" s="376">
        <v>18</v>
      </c>
      <c r="R38" s="376">
        <v>18</v>
      </c>
      <c r="S38" s="376"/>
      <c r="T38" s="370"/>
      <c r="U38" s="292"/>
      <c r="V38" s="292"/>
      <c r="W38" s="442">
        <v>2</v>
      </c>
      <c r="X38" s="265"/>
      <c r="Y38" s="263"/>
      <c r="Z38" s="261"/>
      <c r="AA38" s="370"/>
      <c r="AB38" s="263"/>
      <c r="AC38" s="263"/>
      <c r="AD38" s="263"/>
      <c r="AE38" s="263"/>
      <c r="AF38" s="263"/>
      <c r="AG38" s="263"/>
      <c r="AH38" s="292"/>
      <c r="AI38" s="263"/>
      <c r="AJ38" s="185"/>
      <c r="AK38" s="191">
        <f>VLOOKUP(N38,Gapok!$B$5:$I$94,2,0)</f>
        <v>1020000</v>
      </c>
      <c r="AL38" s="191">
        <f>VLOOKUP(P38,'TJ. FUNGSIONAL'!$B$4:$F$34,5,0)</f>
        <v>1200000</v>
      </c>
      <c r="AM38" s="191">
        <f>IF(R38+S38&gt;=Q38,(VLOOKUP(N38,Gapok!$B$5:$I$94,5,0)),((VLOOKUP('PER UNIT'!N38,Gapok!$B$5:$I$94,4,0)*('PER UNIT'!R38+'PER UNIT'!S38))))</f>
        <v>375000</v>
      </c>
      <c r="AN38" s="191">
        <f>VLOOKUP(P38,'TJ. FUNGSIONAL'!$B$4:$E$34,4,0)</f>
        <v>300000</v>
      </c>
      <c r="AO38" s="192">
        <f t="shared" si="16"/>
        <v>150000</v>
      </c>
      <c r="AP38" s="193">
        <v>35000</v>
      </c>
      <c r="AQ38" s="194">
        <f t="shared" si="26"/>
        <v>50000</v>
      </c>
      <c r="AR38" s="195">
        <f t="shared" si="23"/>
        <v>0</v>
      </c>
      <c r="AS38" s="195">
        <f t="shared" si="28"/>
        <v>0</v>
      </c>
      <c r="AT38" s="196"/>
      <c r="AU38" s="96"/>
      <c r="AV38" s="96"/>
      <c r="AW38" s="96"/>
      <c r="AX38" s="96"/>
      <c r="AY38" s="96"/>
      <c r="AZ38" s="96"/>
      <c r="BA38" s="96"/>
      <c r="BB38" s="96">
        <v>975000</v>
      </c>
      <c r="BC38" s="96"/>
      <c r="BD38" s="197">
        <f t="shared" si="24"/>
        <v>4105000</v>
      </c>
      <c r="BE38" s="198">
        <f t="shared" si="18"/>
        <v>0</v>
      </c>
      <c r="BF38" s="195">
        <f t="shared" si="29"/>
        <v>0</v>
      </c>
      <c r="BG38" s="195">
        <f t="shared" si="20"/>
        <v>0</v>
      </c>
      <c r="BH38" s="195">
        <v>0</v>
      </c>
      <c r="BI38" s="195">
        <v>0</v>
      </c>
      <c r="BJ38" s="195"/>
      <c r="BK38" s="107"/>
      <c r="BL38" s="107">
        <f t="shared" si="21"/>
        <v>0</v>
      </c>
      <c r="BM38" s="96">
        <v>975000</v>
      </c>
      <c r="BN38" s="107"/>
      <c r="BO38" s="311"/>
      <c r="BP38" s="309">
        <f t="shared" si="25"/>
        <v>975000</v>
      </c>
      <c r="BQ38" s="199"/>
      <c r="BR38" s="196"/>
      <c r="BS38" s="200">
        <f t="shared" si="22"/>
        <v>3130000</v>
      </c>
      <c r="BT38" s="224">
        <v>7135701615</v>
      </c>
    </row>
    <row r="39" spans="1:1017" x14ac:dyDescent="0.45">
      <c r="A39" s="182">
        <v>33</v>
      </c>
      <c r="B39" s="252" t="s">
        <v>258</v>
      </c>
      <c r="C39" s="240" t="s">
        <v>1033</v>
      </c>
      <c r="D39" s="202" t="s">
        <v>937</v>
      </c>
      <c r="E39" s="251" t="s">
        <v>81</v>
      </c>
      <c r="F39" s="185" t="s">
        <v>398</v>
      </c>
      <c r="G39" s="278" t="s">
        <v>727</v>
      </c>
      <c r="H39" s="186" t="s">
        <v>389</v>
      </c>
      <c r="I39" s="340">
        <v>3</v>
      </c>
      <c r="J39" s="145" t="s">
        <v>163</v>
      </c>
      <c r="K39" s="145" t="s">
        <v>105</v>
      </c>
      <c r="L39" s="145" t="s">
        <v>84</v>
      </c>
      <c r="M39" s="145" t="s">
        <v>92</v>
      </c>
      <c r="N39" s="188" t="s">
        <v>143</v>
      </c>
      <c r="O39" s="340" t="str">
        <f>VLOOKUP(P39,'TJ. FUNGSIONAL'!$B$4:$C$34,2,0)</f>
        <v>Wali Kelas SD</v>
      </c>
      <c r="P39" s="145" t="s">
        <v>158</v>
      </c>
      <c r="Q39" s="376">
        <v>18</v>
      </c>
      <c r="R39" s="376">
        <v>18</v>
      </c>
      <c r="S39" s="376"/>
      <c r="T39" s="370"/>
      <c r="U39" s="292"/>
      <c r="V39" s="292"/>
      <c r="W39" s="442">
        <v>2</v>
      </c>
      <c r="X39" s="265"/>
      <c r="Y39" s="263"/>
      <c r="Z39" s="261"/>
      <c r="AA39" s="370"/>
      <c r="AB39" s="263"/>
      <c r="AC39" s="263"/>
      <c r="AD39" s="263"/>
      <c r="AE39" s="263"/>
      <c r="AF39" s="263"/>
      <c r="AG39" s="263"/>
      <c r="AH39" s="292"/>
      <c r="AI39" s="263"/>
      <c r="AJ39" s="185"/>
      <c r="AK39" s="191">
        <f>VLOOKUP(N39,Gapok!$B$5:$I$94,2,0)</f>
        <v>1020000</v>
      </c>
      <c r="AL39" s="191">
        <f>VLOOKUP(P39,'TJ. FUNGSIONAL'!$B$4:$F$34,5,0)</f>
        <v>1200000</v>
      </c>
      <c r="AM39" s="191">
        <f>IF(R39+S39&gt;=Q39,(VLOOKUP(N39,Gapok!$B$5:$I$94,5,0)),((VLOOKUP('PER UNIT'!N39,Gapok!$B$5:$I$94,4,0)*('PER UNIT'!R39+'PER UNIT'!S39))))</f>
        <v>375000</v>
      </c>
      <c r="AN39" s="191">
        <f>VLOOKUP(P39,'TJ. FUNGSIONAL'!$B$4:$E$34,4,0)</f>
        <v>300000</v>
      </c>
      <c r="AO39" s="192">
        <f t="shared" si="16"/>
        <v>150000</v>
      </c>
      <c r="AP39" s="193">
        <v>35000</v>
      </c>
      <c r="AQ39" s="194">
        <f t="shared" si="26"/>
        <v>50000</v>
      </c>
      <c r="AR39" s="195">
        <f t="shared" si="23"/>
        <v>0</v>
      </c>
      <c r="AS39" s="195">
        <f t="shared" si="28"/>
        <v>0</v>
      </c>
      <c r="AT39" s="196"/>
      <c r="AU39" s="96"/>
      <c r="AV39" s="96">
        <v>600000</v>
      </c>
      <c r="AW39" s="96"/>
      <c r="AX39" s="96"/>
      <c r="AY39" s="96"/>
      <c r="AZ39" s="96"/>
      <c r="BA39" s="96"/>
      <c r="BB39" s="96">
        <v>975000</v>
      </c>
      <c r="BC39" s="96"/>
      <c r="BD39" s="197">
        <f t="shared" si="24"/>
        <v>4705000</v>
      </c>
      <c r="BE39" s="198">
        <f t="shared" si="18"/>
        <v>0</v>
      </c>
      <c r="BF39" s="195">
        <f t="shared" si="29"/>
        <v>0</v>
      </c>
      <c r="BG39" s="195">
        <f t="shared" si="20"/>
        <v>0</v>
      </c>
      <c r="BH39" s="195">
        <v>0</v>
      </c>
      <c r="BI39" s="228">
        <v>600000</v>
      </c>
      <c r="BJ39" s="195"/>
      <c r="BK39" s="107"/>
      <c r="BL39" s="107">
        <f t="shared" si="21"/>
        <v>600000</v>
      </c>
      <c r="BM39" s="96">
        <v>975000</v>
      </c>
      <c r="BN39" s="107"/>
      <c r="BO39" s="311"/>
      <c r="BP39" s="309">
        <f t="shared" si="25"/>
        <v>2175000</v>
      </c>
      <c r="BQ39" s="199"/>
      <c r="BR39" s="196"/>
      <c r="BS39" s="200">
        <f t="shared" si="22"/>
        <v>2530000</v>
      </c>
      <c r="BT39" s="224">
        <v>7211450511</v>
      </c>
    </row>
    <row r="40" spans="1:1017" x14ac:dyDescent="0.45">
      <c r="A40" s="182">
        <v>34</v>
      </c>
      <c r="B40" s="252" t="s">
        <v>264</v>
      </c>
      <c r="C40" s="240" t="s">
        <v>1034</v>
      </c>
      <c r="D40" s="293" t="s">
        <v>938</v>
      </c>
      <c r="E40" s="251" t="s">
        <v>81</v>
      </c>
      <c r="F40" s="185" t="s">
        <v>413</v>
      </c>
      <c r="G40" s="278" t="s">
        <v>727</v>
      </c>
      <c r="H40" s="186" t="s">
        <v>414</v>
      </c>
      <c r="I40" s="340">
        <v>3</v>
      </c>
      <c r="J40" s="145" t="s">
        <v>163</v>
      </c>
      <c r="K40" s="145" t="s">
        <v>73</v>
      </c>
      <c r="L40" s="145" t="s">
        <v>74</v>
      </c>
      <c r="M40" s="145" t="s">
        <v>92</v>
      </c>
      <c r="N40" s="188" t="s">
        <v>210</v>
      </c>
      <c r="O40" s="340" t="str">
        <f>VLOOKUP(P40,'TJ. FUNGSIONAL'!$B$4:$C$34,2,0)</f>
        <v>Guru Quran SD</v>
      </c>
      <c r="P40" s="340" t="s">
        <v>177</v>
      </c>
      <c r="Q40" s="376">
        <v>18</v>
      </c>
      <c r="R40" s="376">
        <v>16</v>
      </c>
      <c r="S40" s="376">
        <v>2</v>
      </c>
      <c r="T40" s="370"/>
      <c r="U40" s="292"/>
      <c r="V40" s="292"/>
      <c r="W40" s="442">
        <v>2</v>
      </c>
      <c r="X40" s="265"/>
      <c r="Y40" s="263"/>
      <c r="Z40" s="261"/>
      <c r="AA40" s="337"/>
      <c r="AB40" s="263"/>
      <c r="AC40" s="263"/>
      <c r="AD40" s="263"/>
      <c r="AE40" s="263"/>
      <c r="AF40" s="263"/>
      <c r="AG40" s="263"/>
      <c r="AH40" s="292"/>
      <c r="AI40" s="263"/>
      <c r="AJ40" s="185"/>
      <c r="AK40" s="191">
        <f>VLOOKUP(N40,Gapok!$B$5:$I$94,2,0)</f>
        <v>800000</v>
      </c>
      <c r="AL40" s="191">
        <f>VLOOKUP(P40,'TJ. FUNGSIONAL'!$B$4:$F$34,5,0)</f>
        <v>900000</v>
      </c>
      <c r="AM40" s="191">
        <f>IF(R40+S40&gt;=Q40,(VLOOKUP(N40,Gapok!$B$5:$I$94,5,0)),((VLOOKUP('PER UNIT'!N40,Gapok!$B$5:$I$94,4,0)*('PER UNIT'!R40+'PER UNIT'!S40))))</f>
        <v>375000</v>
      </c>
      <c r="AN40" s="191">
        <f>VLOOKUP(P40,'TJ. FUNGSIONAL'!$B$4:$E$34,4,0)</f>
        <v>300000</v>
      </c>
      <c r="AO40" s="192">
        <f t="shared" si="16"/>
        <v>150000</v>
      </c>
      <c r="AP40" s="193">
        <v>35000</v>
      </c>
      <c r="AQ40" s="194">
        <f t="shared" si="26"/>
        <v>50000</v>
      </c>
      <c r="AR40" s="195">
        <f t="shared" si="23"/>
        <v>0</v>
      </c>
      <c r="AS40" s="195">
        <f t="shared" si="28"/>
        <v>0</v>
      </c>
      <c r="AT40" s="196"/>
      <c r="AU40" s="96"/>
      <c r="AV40" s="96"/>
      <c r="AW40" s="96"/>
      <c r="AX40" s="96"/>
      <c r="AY40" s="96"/>
      <c r="AZ40" s="96"/>
      <c r="BA40" s="96"/>
      <c r="BB40" s="96"/>
      <c r="BC40" s="96"/>
      <c r="BD40" s="197">
        <f t="shared" si="24"/>
        <v>2610000</v>
      </c>
      <c r="BE40" s="198">
        <f t="shared" si="18"/>
        <v>0</v>
      </c>
      <c r="BF40" s="195">
        <f t="shared" si="29"/>
        <v>15000</v>
      </c>
      <c r="BG40" s="195">
        <f t="shared" si="20"/>
        <v>0</v>
      </c>
      <c r="BH40" s="195">
        <v>35000</v>
      </c>
      <c r="BI40" s="195">
        <v>0</v>
      </c>
      <c r="BJ40" s="195"/>
      <c r="BK40" s="107"/>
      <c r="BL40" s="107">
        <f t="shared" si="21"/>
        <v>0</v>
      </c>
      <c r="BM40" s="107"/>
      <c r="BN40" s="107"/>
      <c r="BO40" s="311"/>
      <c r="BP40" s="309">
        <f t="shared" si="25"/>
        <v>50000</v>
      </c>
      <c r="BQ40" s="199"/>
      <c r="BR40" s="196"/>
      <c r="BS40" s="200">
        <f t="shared" si="22"/>
        <v>2560000</v>
      </c>
      <c r="BT40" s="224">
        <v>7173868019</v>
      </c>
    </row>
    <row r="41" spans="1:1017" x14ac:dyDescent="0.45">
      <c r="A41" s="182">
        <v>35</v>
      </c>
      <c r="B41" s="252" t="s">
        <v>269</v>
      </c>
      <c r="C41" s="240" t="s">
        <v>1035</v>
      </c>
      <c r="D41" s="294" t="s">
        <v>915</v>
      </c>
      <c r="E41" s="251" t="s">
        <v>81</v>
      </c>
      <c r="F41" s="185" t="s">
        <v>864</v>
      </c>
      <c r="G41" s="278" t="s">
        <v>727</v>
      </c>
      <c r="H41" s="186" t="s">
        <v>865</v>
      </c>
      <c r="I41" s="340">
        <v>1</v>
      </c>
      <c r="J41" s="145" t="s">
        <v>163</v>
      </c>
      <c r="K41" s="37" t="s">
        <v>83</v>
      </c>
      <c r="L41" s="37" t="s">
        <v>74</v>
      </c>
      <c r="M41" s="37" t="s">
        <v>538</v>
      </c>
      <c r="N41" s="188" t="s">
        <v>571</v>
      </c>
      <c r="O41" s="340" t="s">
        <v>717</v>
      </c>
      <c r="P41" s="340" t="s">
        <v>171</v>
      </c>
      <c r="Q41" s="432">
        <v>28</v>
      </c>
      <c r="R41" s="432">
        <v>28</v>
      </c>
      <c r="S41" s="433"/>
      <c r="T41" s="319"/>
      <c r="U41" s="292"/>
      <c r="V41" s="292"/>
      <c r="W41" s="442"/>
      <c r="X41" s="256"/>
      <c r="Y41" s="261"/>
      <c r="Z41" s="261"/>
      <c r="AA41" s="337">
        <v>5</v>
      </c>
      <c r="AB41" s="261"/>
      <c r="AC41" s="261"/>
      <c r="AD41" s="261"/>
      <c r="AE41" s="261"/>
      <c r="AF41" s="261">
        <v>7</v>
      </c>
      <c r="AG41" s="277"/>
      <c r="AH41" s="292"/>
      <c r="AI41" s="189"/>
      <c r="AJ41" s="261"/>
      <c r="AK41" s="191">
        <f>VLOOKUP(N41,Gapok!$B$5:$I$94,2,0)</f>
        <v>950000</v>
      </c>
      <c r="AL41" s="371">
        <f>VLOOKUP(P41,'TJ. FUNGSIONAL'!$B$4:$F$34,5,0)</f>
        <v>1200000</v>
      </c>
      <c r="AM41" s="191">
        <f>IF(R41+S41&gt;=Q41,(VLOOKUP(N41,Gapok!$B$5:$I$94,5,0)),((VLOOKUP('PER UNIT'!N41,Gapok!$B$5:$I$94,4,0)*('PER UNIT'!R41+'PER UNIT'!S41))))</f>
        <v>375000</v>
      </c>
      <c r="AN41" s="191">
        <f>VLOOKUP(P41,'TJ. FUNGSIONAL'!$B$4:$E$34,4,0)</f>
        <v>300000</v>
      </c>
      <c r="AO41" s="192">
        <f t="shared" ref="AO41" si="30">50000*I41</f>
        <v>50000</v>
      </c>
      <c r="AP41" s="193">
        <v>35000</v>
      </c>
      <c r="AQ41" s="194">
        <f t="shared" ref="AQ41" si="31">(W41*25000)+X41*75000+Y41*25000+AH41*100000+AI41*50000+AJ41*30000</f>
        <v>0</v>
      </c>
      <c r="AR41" s="195">
        <f t="shared" si="23"/>
        <v>250000</v>
      </c>
      <c r="AS41" s="195">
        <f t="shared" si="28"/>
        <v>175000</v>
      </c>
      <c r="AT41" s="196"/>
      <c r="AU41" s="96"/>
      <c r="AV41" s="96"/>
      <c r="AW41" s="96"/>
      <c r="AX41" s="96"/>
      <c r="AY41" s="96"/>
      <c r="AZ41" s="96"/>
      <c r="BA41" s="96"/>
      <c r="BB41" s="96"/>
      <c r="BC41" s="96"/>
      <c r="BD41" s="197">
        <f t="shared" ref="BD41" si="32">SUM(AK41:BC41)</f>
        <v>3335000</v>
      </c>
      <c r="BE41" s="198">
        <f t="shared" si="18"/>
        <v>0</v>
      </c>
      <c r="BF41" s="195">
        <f t="shared" si="29"/>
        <v>0</v>
      </c>
      <c r="BG41" s="195">
        <f t="shared" si="20"/>
        <v>0</v>
      </c>
      <c r="BH41" s="195">
        <v>0</v>
      </c>
      <c r="BI41" s="195">
        <v>0</v>
      </c>
      <c r="BJ41" s="195"/>
      <c r="BK41" s="107"/>
      <c r="BL41" s="107">
        <f t="shared" ref="BL41" si="33">SUM(AU41:AW41)</f>
        <v>0</v>
      </c>
      <c r="BM41" s="107"/>
      <c r="BN41" s="107"/>
      <c r="BO41" s="311"/>
      <c r="BP41" s="309">
        <f t="shared" ref="BP41" si="34">SUM(BE41:BO41)</f>
        <v>0</v>
      </c>
      <c r="BQ41" s="199"/>
      <c r="BR41" s="196"/>
      <c r="BS41" s="200">
        <f t="shared" si="22"/>
        <v>3335000</v>
      </c>
      <c r="BT41" s="201">
        <v>7261293255</v>
      </c>
    </row>
    <row r="42" spans="1:1017" x14ac:dyDescent="0.45">
      <c r="A42" s="182">
        <v>36</v>
      </c>
      <c r="B42" s="252" t="s">
        <v>276</v>
      </c>
      <c r="C42" s="240" t="s">
        <v>1036</v>
      </c>
      <c r="D42" s="202" t="s">
        <v>940</v>
      </c>
      <c r="E42" s="251" t="s">
        <v>81</v>
      </c>
      <c r="F42" s="185" t="s">
        <v>535</v>
      </c>
      <c r="G42" s="278" t="s">
        <v>727</v>
      </c>
      <c r="H42" s="186" t="s">
        <v>536</v>
      </c>
      <c r="I42" s="340">
        <v>2</v>
      </c>
      <c r="J42" s="145" t="s">
        <v>163</v>
      </c>
      <c r="K42" s="37" t="s">
        <v>73</v>
      </c>
      <c r="L42" s="37" t="s">
        <v>537</v>
      </c>
      <c r="M42" s="145" t="s">
        <v>112</v>
      </c>
      <c r="N42" s="188" t="s">
        <v>204</v>
      </c>
      <c r="O42" s="145" t="s">
        <v>702</v>
      </c>
      <c r="P42" s="145" t="s">
        <v>158</v>
      </c>
      <c r="Q42" s="376">
        <v>18</v>
      </c>
      <c r="R42" s="376">
        <v>8</v>
      </c>
      <c r="S42" s="376">
        <v>10</v>
      </c>
      <c r="T42" s="370"/>
      <c r="U42" s="292"/>
      <c r="V42" s="292"/>
      <c r="W42" s="442">
        <v>2</v>
      </c>
      <c r="X42" s="265"/>
      <c r="Y42" s="263"/>
      <c r="Z42" s="261"/>
      <c r="AA42" s="337"/>
      <c r="AB42" s="263"/>
      <c r="AC42" s="263"/>
      <c r="AD42" s="263"/>
      <c r="AE42" s="263"/>
      <c r="AF42" s="263"/>
      <c r="AG42" s="263"/>
      <c r="AH42" s="292"/>
      <c r="AI42" s="263"/>
      <c r="AJ42" s="264"/>
      <c r="AK42" s="191">
        <f>VLOOKUP(N42,Gapok!$B$5:$I$94,2,0)</f>
        <v>930000</v>
      </c>
      <c r="AL42" s="191">
        <f>VLOOKUP(P42,'TJ. FUNGSIONAL'!$B$4:$F$34,5,0)</f>
        <v>1200000</v>
      </c>
      <c r="AM42" s="191">
        <f>IF(R42+S42&gt;=Q42,(VLOOKUP(N42,Gapok!$B$5:$I$94,5,0)),((VLOOKUP('PER UNIT'!N42,Gapok!$B$5:$I$94,4,0)*('PER UNIT'!R42+'PER UNIT'!S42))))</f>
        <v>375000</v>
      </c>
      <c r="AN42" s="191">
        <f>VLOOKUP(P42,'TJ. FUNGSIONAL'!$B$4:$E$34,4,0)</f>
        <v>300000</v>
      </c>
      <c r="AO42" s="192">
        <f t="shared" si="16"/>
        <v>100000</v>
      </c>
      <c r="AP42" s="193">
        <v>35000</v>
      </c>
      <c r="AQ42" s="194">
        <f t="shared" si="26"/>
        <v>50000</v>
      </c>
      <c r="AR42" s="195">
        <f t="shared" si="23"/>
        <v>0</v>
      </c>
      <c r="AS42" s="195">
        <f t="shared" si="28"/>
        <v>0</v>
      </c>
      <c r="AT42" s="196"/>
      <c r="AU42" s="96"/>
      <c r="AV42" s="96"/>
      <c r="AW42" s="96"/>
      <c r="AX42" s="96"/>
      <c r="AY42" s="96"/>
      <c r="AZ42" s="96"/>
      <c r="BA42" s="96"/>
      <c r="BB42" s="96"/>
      <c r="BC42" s="96"/>
      <c r="BD42" s="197">
        <f t="shared" si="24"/>
        <v>2990000</v>
      </c>
      <c r="BE42" s="198">
        <f t="shared" si="18"/>
        <v>0</v>
      </c>
      <c r="BF42" s="195">
        <f t="shared" si="29"/>
        <v>75000</v>
      </c>
      <c r="BG42" s="195">
        <f t="shared" si="20"/>
        <v>0</v>
      </c>
      <c r="BH42" s="195">
        <v>35000</v>
      </c>
      <c r="BI42" s="195">
        <v>0</v>
      </c>
      <c r="BJ42" s="195"/>
      <c r="BK42" s="107"/>
      <c r="BL42" s="107">
        <f t="shared" si="21"/>
        <v>0</v>
      </c>
      <c r="BM42" s="107"/>
      <c r="BN42" s="107"/>
      <c r="BO42" s="311"/>
      <c r="BP42" s="309">
        <f t="shared" si="25"/>
        <v>110000</v>
      </c>
      <c r="BQ42" s="199"/>
      <c r="BR42" s="196"/>
      <c r="BS42" s="200">
        <f t="shared" si="22"/>
        <v>2880000</v>
      </c>
      <c r="BT42" s="224">
        <v>7222838449</v>
      </c>
    </row>
    <row r="43" spans="1:1017" x14ac:dyDescent="0.45">
      <c r="A43" s="182">
        <v>37</v>
      </c>
      <c r="B43" s="252" t="s">
        <v>282</v>
      </c>
      <c r="C43" s="240" t="s">
        <v>1037</v>
      </c>
      <c r="D43" s="229" t="s">
        <v>939</v>
      </c>
      <c r="E43" s="251" t="s">
        <v>81</v>
      </c>
      <c r="F43" s="218" t="s">
        <v>853</v>
      </c>
      <c r="G43" s="278" t="s">
        <v>727</v>
      </c>
      <c r="H43" s="186" t="s">
        <v>852</v>
      </c>
      <c r="I43" s="340">
        <v>1</v>
      </c>
      <c r="J43" s="145" t="s">
        <v>163</v>
      </c>
      <c r="K43" s="37" t="s">
        <v>73</v>
      </c>
      <c r="L43" s="37" t="s">
        <v>74</v>
      </c>
      <c r="M43" s="145" t="s">
        <v>75</v>
      </c>
      <c r="N43" s="188" t="s">
        <v>210</v>
      </c>
      <c r="O43" s="340" t="s">
        <v>465</v>
      </c>
      <c r="P43" s="340" t="s">
        <v>177</v>
      </c>
      <c r="Q43" s="376">
        <v>18</v>
      </c>
      <c r="R43" s="376">
        <v>7</v>
      </c>
      <c r="S43" s="376">
        <v>11</v>
      </c>
      <c r="T43" s="370"/>
      <c r="U43" s="370"/>
      <c r="V43" s="292"/>
      <c r="W43" s="442">
        <v>2</v>
      </c>
      <c r="X43" s="265"/>
      <c r="Y43" s="263"/>
      <c r="Z43" s="261"/>
      <c r="AA43" s="337"/>
      <c r="AB43" s="263"/>
      <c r="AC43" s="263"/>
      <c r="AD43" s="263"/>
      <c r="AE43" s="263"/>
      <c r="AF43" s="263"/>
      <c r="AG43" s="263"/>
      <c r="AH43" s="442">
        <v>5</v>
      </c>
      <c r="AI43" s="263"/>
      <c r="AJ43" s="264"/>
      <c r="AK43" s="191">
        <f>VLOOKUP(N43,Gapok!$B$5:$I$94,2,0)</f>
        <v>800000</v>
      </c>
      <c r="AL43" s="191">
        <f>VLOOKUP(P43,'TJ. FUNGSIONAL'!$B$4:$F$34,5,0)</f>
        <v>900000</v>
      </c>
      <c r="AM43" s="191">
        <f>IF(R43+S43&gt;=Q43,(VLOOKUP(N43,Gapok!$B$5:$I$94,5,0)),((VLOOKUP('PER UNIT'!N43,Gapok!$B$5:$I$94,4,0)*('PER UNIT'!R43+'PER UNIT'!S43))))</f>
        <v>375000</v>
      </c>
      <c r="AN43" s="191">
        <f>VLOOKUP(P43,'TJ. FUNGSIONAL'!$B$4:$E$34,4,0)</f>
        <v>300000</v>
      </c>
      <c r="AO43" s="192">
        <f t="shared" si="16"/>
        <v>50000</v>
      </c>
      <c r="AP43" s="193">
        <v>35000</v>
      </c>
      <c r="AQ43" s="194">
        <f t="shared" si="26"/>
        <v>550000</v>
      </c>
      <c r="AR43" s="195">
        <f t="shared" si="23"/>
        <v>0</v>
      </c>
      <c r="AS43" s="195">
        <f t="shared" si="28"/>
        <v>0</v>
      </c>
      <c r="AT43" s="196"/>
      <c r="AU43" s="96"/>
      <c r="AV43" s="96"/>
      <c r="AW43" s="96"/>
      <c r="AX43" s="96"/>
      <c r="AY43" s="96"/>
      <c r="AZ43" s="96"/>
      <c r="BA43" s="96"/>
      <c r="BB43" s="96"/>
      <c r="BC43" s="96"/>
      <c r="BD43" s="197">
        <f t="shared" si="24"/>
        <v>3010000</v>
      </c>
      <c r="BE43" s="198">
        <f t="shared" si="18"/>
        <v>0</v>
      </c>
      <c r="BF43" s="195">
        <f t="shared" si="29"/>
        <v>82500</v>
      </c>
      <c r="BG43" s="195">
        <f t="shared" ref="BG43:BG56" si="35">250000*AD43+175000*AE43</f>
        <v>0</v>
      </c>
      <c r="BH43" s="195">
        <v>0</v>
      </c>
      <c r="BI43" s="195">
        <v>0</v>
      </c>
      <c r="BJ43" s="195"/>
      <c r="BK43" s="107"/>
      <c r="BL43" s="107">
        <f t="shared" si="21"/>
        <v>0</v>
      </c>
      <c r="BM43" s="107"/>
      <c r="BN43" s="107"/>
      <c r="BO43" s="311"/>
      <c r="BP43" s="309">
        <f t="shared" si="25"/>
        <v>82500</v>
      </c>
      <c r="BQ43" s="199"/>
      <c r="BR43" s="196"/>
      <c r="BS43" s="200">
        <f t="shared" si="22"/>
        <v>2927500</v>
      </c>
      <c r="BT43" s="224">
        <v>7252035553</v>
      </c>
    </row>
    <row r="44" spans="1:1017" x14ac:dyDescent="0.45">
      <c r="A44" s="182">
        <v>38</v>
      </c>
      <c r="B44" s="252" t="s">
        <v>287</v>
      </c>
      <c r="C44" s="240" t="s">
        <v>1038</v>
      </c>
      <c r="D44" s="230" t="s">
        <v>941</v>
      </c>
      <c r="E44" s="251" t="s">
        <v>81</v>
      </c>
      <c r="F44" s="350" t="s">
        <v>875</v>
      </c>
      <c r="G44" s="278" t="s">
        <v>727</v>
      </c>
      <c r="H44" s="231" t="s">
        <v>876</v>
      </c>
      <c r="I44" s="340">
        <v>0</v>
      </c>
      <c r="J44" s="145" t="s">
        <v>163</v>
      </c>
      <c r="K44" s="145" t="s">
        <v>73</v>
      </c>
      <c r="L44" s="37" t="s">
        <v>74</v>
      </c>
      <c r="M44" s="145" t="s">
        <v>75</v>
      </c>
      <c r="N44" s="188" t="s">
        <v>210</v>
      </c>
      <c r="O44" s="340" t="s">
        <v>717</v>
      </c>
      <c r="P44" s="340" t="s">
        <v>171</v>
      </c>
      <c r="Q44" s="432">
        <v>28</v>
      </c>
      <c r="R44" s="376">
        <v>28</v>
      </c>
      <c r="S44" s="376"/>
      <c r="T44" s="370"/>
      <c r="U44" s="292"/>
      <c r="V44" s="292"/>
      <c r="W44" s="442">
        <v>2</v>
      </c>
      <c r="X44" s="265"/>
      <c r="Y44" s="263"/>
      <c r="Z44" s="261"/>
      <c r="AA44" s="450">
        <v>4</v>
      </c>
      <c r="AB44" s="263"/>
      <c r="AC44" s="263"/>
      <c r="AD44" s="263"/>
      <c r="AE44" s="263"/>
      <c r="AF44" s="263">
        <v>14</v>
      </c>
      <c r="AG44" s="263"/>
      <c r="AH44" s="263"/>
      <c r="AI44" s="263"/>
      <c r="AJ44" s="264"/>
      <c r="AK44" s="191">
        <f>VLOOKUP(N44,Gapok!$B$5:$I$94,2,0)</f>
        <v>800000</v>
      </c>
      <c r="AL44" s="191">
        <f>VLOOKUP(P44,'TJ. FUNGSIONAL'!$B$4:$F$34,5,0)</f>
        <v>1200000</v>
      </c>
      <c r="AM44" s="191">
        <f>IF(R44+S44&gt;=Q44,(VLOOKUP(N44,Gapok!$B$5:$I$94,5,0)),((VLOOKUP('PER UNIT'!N44,Gapok!$B$5:$I$94,4,0)*('PER UNIT'!R44+'PER UNIT'!S44))))</f>
        <v>375000</v>
      </c>
      <c r="AN44" s="191">
        <f>VLOOKUP(P44,'TJ. FUNGSIONAL'!$B$4:$E$34,4,0)</f>
        <v>300000</v>
      </c>
      <c r="AO44" s="192">
        <f t="shared" si="16"/>
        <v>0</v>
      </c>
      <c r="AP44" s="193">
        <v>35000</v>
      </c>
      <c r="AQ44" s="194">
        <f t="shared" si="26"/>
        <v>50000</v>
      </c>
      <c r="AR44" s="195">
        <f t="shared" si="23"/>
        <v>200000</v>
      </c>
      <c r="AS44" s="195">
        <f t="shared" si="28"/>
        <v>350000</v>
      </c>
      <c r="AT44" s="196"/>
      <c r="AU44" s="96"/>
      <c r="AV44" s="96"/>
      <c r="AW44" s="96"/>
      <c r="AX44" s="96"/>
      <c r="AY44" s="96"/>
      <c r="AZ44" s="96"/>
      <c r="BA44" s="96"/>
      <c r="BB44" s="96"/>
      <c r="BC44" s="96"/>
      <c r="BD44" s="197">
        <f t="shared" si="24"/>
        <v>3310000</v>
      </c>
      <c r="BE44" s="198">
        <f t="shared" si="18"/>
        <v>0</v>
      </c>
      <c r="BF44" s="195">
        <f t="shared" si="29"/>
        <v>0</v>
      </c>
      <c r="BG44" s="195">
        <f t="shared" si="35"/>
        <v>0</v>
      </c>
      <c r="BH44" s="195">
        <v>0</v>
      </c>
      <c r="BI44" s="195">
        <v>0</v>
      </c>
      <c r="BJ44" s="195"/>
      <c r="BK44" s="107"/>
      <c r="BL44" s="107">
        <f t="shared" ref="BL44:BL66" si="36">SUM(AU44:AW44)</f>
        <v>0</v>
      </c>
      <c r="BM44" s="107"/>
      <c r="BN44" s="107"/>
      <c r="BO44" s="311"/>
      <c r="BP44" s="309">
        <f t="shared" ref="BP44:BP66" si="37">SUM(BE44:BO44)</f>
        <v>0</v>
      </c>
      <c r="BQ44" s="199"/>
      <c r="BR44" s="275"/>
      <c r="BS44" s="200">
        <f t="shared" si="22"/>
        <v>3310000</v>
      </c>
      <c r="BT44" s="232">
        <v>7284140518</v>
      </c>
    </row>
    <row r="45" spans="1:1017" x14ac:dyDescent="0.45">
      <c r="A45" s="182">
        <v>39</v>
      </c>
      <c r="B45" s="252" t="s">
        <v>295</v>
      </c>
      <c r="C45" s="240" t="s">
        <v>1039</v>
      </c>
      <c r="D45" s="250">
        <v>225.251</v>
      </c>
      <c r="E45" s="251" t="s">
        <v>81</v>
      </c>
      <c r="F45" s="351" t="s">
        <v>952</v>
      </c>
      <c r="G45" s="278" t="s">
        <v>727</v>
      </c>
      <c r="H45" s="297" t="s">
        <v>953</v>
      </c>
      <c r="I45" s="356">
        <v>0</v>
      </c>
      <c r="J45" s="145" t="s">
        <v>163</v>
      </c>
      <c r="K45" s="357" t="s">
        <v>73</v>
      </c>
      <c r="L45" s="357" t="s">
        <v>74</v>
      </c>
      <c r="M45" s="145" t="s">
        <v>92</v>
      </c>
      <c r="N45" s="188" t="s">
        <v>143</v>
      </c>
      <c r="O45" s="340" t="s">
        <v>465</v>
      </c>
      <c r="P45" s="340" t="s">
        <v>177</v>
      </c>
      <c r="Q45" s="216">
        <v>18</v>
      </c>
      <c r="R45" s="216">
        <v>11</v>
      </c>
      <c r="S45" s="216">
        <v>7</v>
      </c>
      <c r="T45" s="347"/>
      <c r="U45" s="347"/>
      <c r="V45" s="347"/>
      <c r="W45" s="442">
        <v>2</v>
      </c>
      <c r="X45" s="298"/>
      <c r="Y45" s="299"/>
      <c r="Z45" s="261"/>
      <c r="AA45" s="370"/>
      <c r="AB45" s="299"/>
      <c r="AC45" s="299"/>
      <c r="AD45" s="299"/>
      <c r="AE45" s="299"/>
      <c r="AF45" s="299"/>
      <c r="AG45" s="299"/>
      <c r="AH45" s="442">
        <v>2</v>
      </c>
      <c r="AI45" s="299"/>
      <c r="AJ45" s="300"/>
      <c r="AK45" s="191">
        <f>VLOOKUP(N45,Gapok!$B$5:$I$94,2,0)</f>
        <v>1020000</v>
      </c>
      <c r="AL45" s="371">
        <f>VLOOKUP(P45,'TJ. FUNGSIONAL'!$B$4:$F$34,5,0)</f>
        <v>900000</v>
      </c>
      <c r="AM45" s="191">
        <f>IF(R45+S45&gt;=Q45,(VLOOKUP(N45,Gapok!$B$5:$I$94,5,0)),((VLOOKUP('PER UNIT'!N45,Gapok!$B$5:$I$94,4,0)*('PER UNIT'!R45+'PER UNIT'!S45))))</f>
        <v>375000</v>
      </c>
      <c r="AN45" s="191">
        <f>VLOOKUP(P45,'TJ. FUNGSIONAL'!$B$4:$E$34,4,0)</f>
        <v>300000</v>
      </c>
      <c r="AO45" s="192">
        <f t="shared" si="16"/>
        <v>0</v>
      </c>
      <c r="AP45" s="193">
        <v>35000</v>
      </c>
      <c r="AQ45" s="194">
        <f t="shared" si="26"/>
        <v>250000</v>
      </c>
      <c r="AR45" s="195">
        <f t="shared" si="23"/>
        <v>0</v>
      </c>
      <c r="AS45" s="195">
        <f t="shared" si="28"/>
        <v>0</v>
      </c>
      <c r="AT45" s="301"/>
      <c r="AU45" s="302"/>
      <c r="AV45" s="302"/>
      <c r="AW45" s="302"/>
      <c r="AX45" s="302"/>
      <c r="AY45" s="302"/>
      <c r="AZ45" s="302"/>
      <c r="BA45" s="302"/>
      <c r="BB45" s="302"/>
      <c r="BC45" s="302"/>
      <c r="BD45" s="197">
        <f t="shared" si="24"/>
        <v>2880000</v>
      </c>
      <c r="BE45" s="198">
        <f t="shared" si="18"/>
        <v>0</v>
      </c>
      <c r="BF45" s="195">
        <f t="shared" si="29"/>
        <v>52500</v>
      </c>
      <c r="BG45" s="195">
        <f t="shared" si="35"/>
        <v>0</v>
      </c>
      <c r="BH45" s="195">
        <v>0</v>
      </c>
      <c r="BI45" s="195">
        <v>0</v>
      </c>
      <c r="BJ45" s="195"/>
      <c r="BK45" s="303"/>
      <c r="BL45" s="107">
        <f t="shared" si="36"/>
        <v>0</v>
      </c>
      <c r="BM45" s="303"/>
      <c r="BN45" s="303"/>
      <c r="BO45" s="311"/>
      <c r="BP45" s="309">
        <f t="shared" si="37"/>
        <v>52500</v>
      </c>
      <c r="BQ45" s="199"/>
      <c r="BR45" s="196"/>
      <c r="BS45" s="200">
        <f t="shared" si="22"/>
        <v>2827500</v>
      </c>
      <c r="BT45" s="304">
        <v>7186729988</v>
      </c>
    </row>
    <row r="46" spans="1:1017" x14ac:dyDescent="0.45">
      <c r="A46" s="182">
        <v>40</v>
      </c>
      <c r="B46" s="252" t="s">
        <v>299</v>
      </c>
      <c r="C46" s="240" t="s">
        <v>1040</v>
      </c>
      <c r="D46" s="250">
        <v>225.25200000000001</v>
      </c>
      <c r="E46" s="251" t="s">
        <v>81</v>
      </c>
      <c r="F46" s="351" t="s">
        <v>951</v>
      </c>
      <c r="G46" s="278" t="s">
        <v>727</v>
      </c>
      <c r="H46" s="297" t="s">
        <v>953</v>
      </c>
      <c r="I46" s="356">
        <v>0</v>
      </c>
      <c r="J46" s="145" t="s">
        <v>163</v>
      </c>
      <c r="K46" s="357" t="s">
        <v>73</v>
      </c>
      <c r="L46" s="357" t="s">
        <v>84</v>
      </c>
      <c r="M46" s="145" t="s">
        <v>92</v>
      </c>
      <c r="N46" s="188" t="s">
        <v>143</v>
      </c>
      <c r="O46" s="340" t="s">
        <v>465</v>
      </c>
      <c r="P46" s="340" t="s">
        <v>177</v>
      </c>
      <c r="Q46" s="216">
        <v>18</v>
      </c>
      <c r="R46" s="216">
        <v>16</v>
      </c>
      <c r="S46" s="216">
        <v>2</v>
      </c>
      <c r="T46" s="348"/>
      <c r="U46" s="292"/>
      <c r="V46" s="292"/>
      <c r="W46" s="442">
        <v>2</v>
      </c>
      <c r="X46" s="298"/>
      <c r="Y46" s="299"/>
      <c r="Z46" s="261"/>
      <c r="AA46" s="370"/>
      <c r="AB46" s="299"/>
      <c r="AC46" s="299"/>
      <c r="AD46" s="299"/>
      <c r="AE46" s="299"/>
      <c r="AF46" s="299"/>
      <c r="AG46" s="299"/>
      <c r="AH46" s="442">
        <v>2</v>
      </c>
      <c r="AI46" s="299"/>
      <c r="AJ46" s="300"/>
      <c r="AK46" s="191">
        <f>VLOOKUP(N46,Gapok!$B$5:$I$94,2,0)</f>
        <v>1020000</v>
      </c>
      <c r="AL46" s="371">
        <f>VLOOKUP(P46,'TJ. FUNGSIONAL'!$B$4:$F$34,5,0)</f>
        <v>900000</v>
      </c>
      <c r="AM46" s="191">
        <f>IF(R46+S46&gt;=Q46,(VLOOKUP(N46,Gapok!$B$5:$I$94,5,0)),((VLOOKUP('PER UNIT'!N46,Gapok!$B$5:$I$94,4,0)*('PER UNIT'!R46+'PER UNIT'!S46))))</f>
        <v>375000</v>
      </c>
      <c r="AN46" s="191">
        <f>VLOOKUP(P46,'TJ. FUNGSIONAL'!$B$4:$E$34,4,0)</f>
        <v>300000</v>
      </c>
      <c r="AO46" s="192">
        <f t="shared" si="16"/>
        <v>0</v>
      </c>
      <c r="AP46" s="193">
        <v>35000</v>
      </c>
      <c r="AQ46" s="194">
        <f t="shared" si="26"/>
        <v>250000</v>
      </c>
      <c r="AR46" s="195">
        <f t="shared" si="23"/>
        <v>0</v>
      </c>
      <c r="AS46" s="195">
        <f t="shared" si="28"/>
        <v>0</v>
      </c>
      <c r="AT46" s="301"/>
      <c r="AU46" s="302"/>
      <c r="AV46" s="302"/>
      <c r="AW46" s="302"/>
      <c r="AX46" s="302"/>
      <c r="AY46" s="302"/>
      <c r="AZ46" s="302"/>
      <c r="BA46" s="302"/>
      <c r="BB46" s="302"/>
      <c r="BC46" s="302"/>
      <c r="BD46" s="197">
        <f t="shared" si="24"/>
        <v>2880000</v>
      </c>
      <c r="BE46" s="198">
        <f t="shared" si="18"/>
        <v>0</v>
      </c>
      <c r="BF46" s="195">
        <f t="shared" si="29"/>
        <v>15000</v>
      </c>
      <c r="BG46" s="195">
        <f t="shared" si="35"/>
        <v>0</v>
      </c>
      <c r="BH46" s="195">
        <v>0</v>
      </c>
      <c r="BI46" s="195">
        <v>0</v>
      </c>
      <c r="BJ46" s="195"/>
      <c r="BK46" s="303"/>
      <c r="BL46" s="107">
        <f t="shared" si="36"/>
        <v>0</v>
      </c>
      <c r="BM46" s="303"/>
      <c r="BN46" s="303"/>
      <c r="BO46" s="311"/>
      <c r="BP46" s="309">
        <f t="shared" si="37"/>
        <v>15000</v>
      </c>
      <c r="BQ46" s="199"/>
      <c r="BR46" s="196"/>
      <c r="BS46" s="200">
        <f t="shared" si="22"/>
        <v>2865000</v>
      </c>
      <c r="BT46" s="304">
        <v>1047292154</v>
      </c>
    </row>
    <row r="47" spans="1:1017" x14ac:dyDescent="0.45">
      <c r="A47" s="182">
        <v>41</v>
      </c>
      <c r="B47" s="252" t="s">
        <v>282</v>
      </c>
      <c r="C47" s="240" t="s">
        <v>1041</v>
      </c>
      <c r="D47" s="250">
        <v>225.25299999999999</v>
      </c>
      <c r="E47" s="251" t="s">
        <v>81</v>
      </c>
      <c r="F47" s="352" t="s">
        <v>955</v>
      </c>
      <c r="G47" s="278" t="s">
        <v>727</v>
      </c>
      <c r="H47" s="320" t="s">
        <v>956</v>
      </c>
      <c r="I47" s="358">
        <v>0</v>
      </c>
      <c r="J47" s="145" t="s">
        <v>163</v>
      </c>
      <c r="K47" s="358" t="s">
        <v>83</v>
      </c>
      <c r="L47" s="358" t="s">
        <v>346</v>
      </c>
      <c r="M47" s="321" t="s">
        <v>317</v>
      </c>
      <c r="N47" s="322" t="s">
        <v>210</v>
      </c>
      <c r="O47" s="341" t="s">
        <v>957</v>
      </c>
      <c r="P47" s="341" t="s">
        <v>319</v>
      </c>
      <c r="Q47" s="432">
        <v>18</v>
      </c>
      <c r="R47" s="216">
        <v>18</v>
      </c>
      <c r="S47" s="433"/>
      <c r="T47" s="347"/>
      <c r="U47" s="292"/>
      <c r="V47" s="292"/>
      <c r="W47" s="442"/>
      <c r="X47" s="323"/>
      <c r="Y47" s="324"/>
      <c r="Z47" s="261">
        <v>14</v>
      </c>
      <c r="AA47" s="370">
        <v>1</v>
      </c>
      <c r="AB47" s="324"/>
      <c r="AC47" s="324"/>
      <c r="AD47" s="324"/>
      <c r="AE47" s="324"/>
      <c r="AF47" s="324"/>
      <c r="AG47" s="324"/>
      <c r="AH47" s="324"/>
      <c r="AI47" s="324"/>
      <c r="AJ47" s="325"/>
      <c r="AK47" s="191">
        <f>VLOOKUP(N47,Gapok!$B$5:$I$94,2,0)</f>
        <v>800000</v>
      </c>
      <c r="AL47" s="191">
        <v>990000</v>
      </c>
      <c r="AM47" s="191">
        <f>IF(R47+S47&gt;=Q47,(VLOOKUP(N47,Gapok!$B$5:$I$94,5,0)),((VLOOKUP('PER UNIT'!N47,Gapok!$B$5:$I$94,4,0)*('PER UNIT'!R47+'PER UNIT'!S47))))</f>
        <v>375000</v>
      </c>
      <c r="AN47" s="191">
        <f>VLOOKUP(P47,'TJ. FUNGSIONAL'!$B$4:$E$34,4,0)</f>
        <v>300000</v>
      </c>
      <c r="AO47" s="192">
        <f t="shared" si="16"/>
        <v>0</v>
      </c>
      <c r="AP47" s="193">
        <v>35000</v>
      </c>
      <c r="AQ47" s="194">
        <f t="shared" si="26"/>
        <v>0</v>
      </c>
      <c r="AR47" s="195">
        <f t="shared" si="23"/>
        <v>470000</v>
      </c>
      <c r="AS47" s="195">
        <f t="shared" si="28"/>
        <v>0</v>
      </c>
      <c r="AT47" s="326"/>
      <c r="AU47" s="327"/>
      <c r="AV47" s="327"/>
      <c r="AW47" s="327"/>
      <c r="AX47" s="327"/>
      <c r="AY47" s="327"/>
      <c r="AZ47" s="327"/>
      <c r="BA47" s="327"/>
      <c r="BB47" s="327"/>
      <c r="BC47" s="327"/>
      <c r="BD47" s="197">
        <f t="shared" si="24"/>
        <v>2970000</v>
      </c>
      <c r="BE47" s="198">
        <f t="shared" si="18"/>
        <v>0</v>
      </c>
      <c r="BF47" s="195">
        <f t="shared" si="29"/>
        <v>0</v>
      </c>
      <c r="BG47" s="195">
        <f t="shared" si="35"/>
        <v>0</v>
      </c>
      <c r="BH47" s="195">
        <v>0</v>
      </c>
      <c r="BI47" s="195">
        <v>0</v>
      </c>
      <c r="BJ47" s="195"/>
      <c r="BK47" s="328"/>
      <c r="BL47" s="107">
        <f t="shared" si="36"/>
        <v>0</v>
      </c>
      <c r="BM47" s="328"/>
      <c r="BN47" s="328"/>
      <c r="BO47" s="329"/>
      <c r="BP47" s="309">
        <f t="shared" si="37"/>
        <v>0</v>
      </c>
      <c r="BQ47" s="107">
        <v>500000</v>
      </c>
      <c r="BR47" s="196" t="s">
        <v>980</v>
      </c>
      <c r="BS47" s="200">
        <f t="shared" si="22"/>
        <v>3470000</v>
      </c>
      <c r="BT47" s="330">
        <v>7318183777</v>
      </c>
    </row>
    <row r="48" spans="1:1017" x14ac:dyDescent="0.45">
      <c r="A48" s="182">
        <v>42</v>
      </c>
      <c r="B48" s="252" t="s">
        <v>287</v>
      </c>
      <c r="C48" s="240" t="s">
        <v>1042</v>
      </c>
      <c r="D48" s="345">
        <v>225.256</v>
      </c>
      <c r="E48" s="251" t="s">
        <v>81</v>
      </c>
      <c r="F48" s="349" t="s">
        <v>966</v>
      </c>
      <c r="G48" s="278" t="s">
        <v>727</v>
      </c>
      <c r="H48" s="346" t="s">
        <v>962</v>
      </c>
      <c r="I48" s="365">
        <v>0</v>
      </c>
      <c r="J48" s="145" t="s">
        <v>163</v>
      </c>
      <c r="K48" s="358" t="s">
        <v>73</v>
      </c>
      <c r="L48" s="357" t="s">
        <v>84</v>
      </c>
      <c r="M48" s="145" t="s">
        <v>92</v>
      </c>
      <c r="N48" s="344" t="s">
        <v>583</v>
      </c>
      <c r="O48" s="145" t="s">
        <v>702</v>
      </c>
      <c r="P48" s="145" t="s">
        <v>158</v>
      </c>
      <c r="Q48" s="376">
        <v>18</v>
      </c>
      <c r="R48" s="216">
        <v>18</v>
      </c>
      <c r="S48" s="216"/>
      <c r="T48" s="348"/>
      <c r="U48" s="292"/>
      <c r="V48" s="292"/>
      <c r="W48" s="442">
        <v>2</v>
      </c>
      <c r="X48" s="274"/>
      <c r="Y48" s="266"/>
      <c r="Z48" s="261"/>
      <c r="AA48" s="370"/>
      <c r="AB48" s="266"/>
      <c r="AC48" s="266"/>
      <c r="AD48" s="266"/>
      <c r="AE48" s="266"/>
      <c r="AF48" s="266"/>
      <c r="AG48" s="266"/>
      <c r="AH48" s="266"/>
      <c r="AI48" s="266"/>
      <c r="AJ48" s="264"/>
      <c r="AK48" s="191">
        <f>VLOOKUP(N48,Gapok!$B$5:$I$94,2,0)</f>
        <v>1200000</v>
      </c>
      <c r="AL48" s="371">
        <f>VLOOKUP(P48,'TJ. FUNGSIONAL'!$B$4:$F$34,5,0)</f>
        <v>1200000</v>
      </c>
      <c r="AM48" s="191">
        <f>IF(R48+S48&gt;=Q48,(VLOOKUP(N48,Gapok!$B$5:$I$94,8,0)),((VLOOKUP('PER UNIT'!N48,Gapok!$B$5:$I$94,7,0)*('PER UNIT'!R48+'PER UNIT'!S48))))</f>
        <v>425000</v>
      </c>
      <c r="AN48" s="191">
        <f>VLOOKUP(P48,'TJ. FUNGSIONAL'!$B$4:$E$34,4,0)</f>
        <v>300000</v>
      </c>
      <c r="AO48" s="192">
        <f t="shared" si="16"/>
        <v>0</v>
      </c>
      <c r="AP48" s="193">
        <v>35000</v>
      </c>
      <c r="AQ48" s="194">
        <f t="shared" si="26"/>
        <v>50000</v>
      </c>
      <c r="AR48" s="195">
        <f t="shared" si="23"/>
        <v>0</v>
      </c>
      <c r="AS48" s="195">
        <f t="shared" si="28"/>
        <v>0</v>
      </c>
      <c r="AT48" s="196"/>
      <c r="AU48" s="96"/>
      <c r="AV48" s="96"/>
      <c r="AW48" s="96"/>
      <c r="AX48" s="96"/>
      <c r="AY48" s="96"/>
      <c r="AZ48" s="96"/>
      <c r="BA48" s="96"/>
      <c r="BB48" s="96"/>
      <c r="BC48" s="96"/>
      <c r="BD48" s="197">
        <f t="shared" si="24"/>
        <v>3210000</v>
      </c>
      <c r="BE48" s="198">
        <f t="shared" si="18"/>
        <v>0</v>
      </c>
      <c r="BF48" s="195">
        <f t="shared" si="29"/>
        <v>0</v>
      </c>
      <c r="BG48" s="195">
        <f t="shared" si="35"/>
        <v>0</v>
      </c>
      <c r="BH48" s="195">
        <v>0</v>
      </c>
      <c r="BI48" s="195">
        <v>0</v>
      </c>
      <c r="BJ48" s="195"/>
      <c r="BK48" s="107"/>
      <c r="BL48" s="107">
        <f t="shared" si="36"/>
        <v>0</v>
      </c>
      <c r="BM48" s="107"/>
      <c r="BN48" s="107"/>
      <c r="BO48" s="339"/>
      <c r="BP48" s="309">
        <f t="shared" si="37"/>
        <v>0</v>
      </c>
      <c r="BQ48" s="199"/>
      <c r="BR48" s="196"/>
      <c r="BS48" s="200">
        <f t="shared" si="22"/>
        <v>3210000</v>
      </c>
      <c r="BT48" s="232">
        <v>7330016188</v>
      </c>
    </row>
    <row r="49" spans="1:72" x14ac:dyDescent="0.45">
      <c r="A49" s="182">
        <v>43</v>
      </c>
      <c r="B49" s="252" t="s">
        <v>295</v>
      </c>
      <c r="C49" s="240" t="s">
        <v>1043</v>
      </c>
      <c r="D49" s="345">
        <v>225.261</v>
      </c>
      <c r="E49" s="251" t="s">
        <v>81</v>
      </c>
      <c r="F49" s="349" t="s">
        <v>974</v>
      </c>
      <c r="G49" s="278" t="s">
        <v>727</v>
      </c>
      <c r="H49" s="346" t="s">
        <v>975</v>
      </c>
      <c r="I49" s="365">
        <v>0</v>
      </c>
      <c r="J49" s="145" t="s">
        <v>163</v>
      </c>
      <c r="K49" s="365" t="s">
        <v>182</v>
      </c>
      <c r="L49" s="357" t="s">
        <v>84</v>
      </c>
      <c r="M49" s="145" t="s">
        <v>92</v>
      </c>
      <c r="N49" s="188" t="s">
        <v>143</v>
      </c>
      <c r="O49" s="340" t="s">
        <v>465</v>
      </c>
      <c r="P49" s="340" t="s">
        <v>177</v>
      </c>
      <c r="Q49" s="216">
        <v>18</v>
      </c>
      <c r="R49" s="216">
        <v>15</v>
      </c>
      <c r="S49" s="216">
        <v>3</v>
      </c>
      <c r="T49" s="347"/>
      <c r="U49" s="348"/>
      <c r="V49" s="348"/>
      <c r="W49" s="442">
        <v>2</v>
      </c>
      <c r="X49" s="274"/>
      <c r="Y49" s="266"/>
      <c r="Z49" s="261"/>
      <c r="AA49" s="337"/>
      <c r="AB49" s="266"/>
      <c r="AC49" s="266"/>
      <c r="AD49" s="266"/>
      <c r="AE49" s="266"/>
      <c r="AF49" s="266"/>
      <c r="AG49" s="266"/>
      <c r="AH49" s="266"/>
      <c r="AI49" s="266"/>
      <c r="AJ49" s="264"/>
      <c r="AK49" s="191">
        <f>VLOOKUP(N49,Gapok!$B$5:$I$94,2,0)</f>
        <v>1020000</v>
      </c>
      <c r="AL49" s="371">
        <f>VLOOKUP(P49,'TJ. FUNGSIONAL'!$B$4:$F$34,5,0)</f>
        <v>900000</v>
      </c>
      <c r="AM49" s="191">
        <f>IF(R49+S49&gt;=Q49,(VLOOKUP(N49,Gapok!$B$5:$I$94,5,0)),((VLOOKUP('PER UNIT'!N49,Gapok!$B$5:$I$94,4,0)*('PER UNIT'!R49+'PER UNIT'!S49))))</f>
        <v>375000</v>
      </c>
      <c r="AN49" s="191">
        <f>VLOOKUP(P49,'TJ. FUNGSIONAL'!$B$4:$E$34,4,0)</f>
        <v>300000</v>
      </c>
      <c r="AO49" s="192">
        <f t="shared" si="16"/>
        <v>0</v>
      </c>
      <c r="AP49" s="193">
        <v>35000</v>
      </c>
      <c r="AQ49" s="194">
        <f t="shared" si="26"/>
        <v>50000</v>
      </c>
      <c r="AR49" s="195">
        <f t="shared" si="23"/>
        <v>0</v>
      </c>
      <c r="AS49" s="195">
        <f t="shared" si="28"/>
        <v>0</v>
      </c>
      <c r="AT49" s="196"/>
      <c r="AU49" s="96"/>
      <c r="AV49" s="96"/>
      <c r="AW49" s="96"/>
      <c r="AX49" s="96"/>
      <c r="AY49" s="96"/>
      <c r="AZ49" s="96"/>
      <c r="BA49" s="96"/>
      <c r="BB49" s="96"/>
      <c r="BC49" s="96"/>
      <c r="BD49" s="197">
        <f t="shared" si="24"/>
        <v>2680000</v>
      </c>
      <c r="BE49" s="198">
        <f t="shared" si="18"/>
        <v>0</v>
      </c>
      <c r="BF49" s="195">
        <f t="shared" si="29"/>
        <v>22500</v>
      </c>
      <c r="BG49" s="195">
        <f t="shared" si="35"/>
        <v>0</v>
      </c>
      <c r="BH49" s="195">
        <v>0</v>
      </c>
      <c r="BI49" s="195">
        <v>0</v>
      </c>
      <c r="BJ49" s="195"/>
      <c r="BK49" s="107"/>
      <c r="BL49" s="107">
        <f t="shared" si="36"/>
        <v>0</v>
      </c>
      <c r="BM49" s="107"/>
      <c r="BN49" s="107"/>
      <c r="BO49" s="339"/>
      <c r="BP49" s="309">
        <f t="shared" si="37"/>
        <v>22500</v>
      </c>
      <c r="BQ49" s="199"/>
      <c r="BR49" s="196"/>
      <c r="BS49" s="200">
        <f t="shared" si="22"/>
        <v>2657500</v>
      </c>
      <c r="BT49" s="453">
        <v>7337091468</v>
      </c>
    </row>
    <row r="50" spans="1:72" x14ac:dyDescent="0.45">
      <c r="A50" s="182">
        <v>44</v>
      </c>
      <c r="B50" s="252" t="s">
        <v>299</v>
      </c>
      <c r="C50" s="240" t="s">
        <v>1044</v>
      </c>
      <c r="D50" s="437">
        <v>225.26300000000001</v>
      </c>
      <c r="E50" s="251" t="s">
        <v>81</v>
      </c>
      <c r="F50" s="352" t="s">
        <v>976</v>
      </c>
      <c r="G50" s="278" t="s">
        <v>727</v>
      </c>
      <c r="H50" s="440" t="s">
        <v>978</v>
      </c>
      <c r="I50" s="365">
        <v>0</v>
      </c>
      <c r="J50" s="145" t="s">
        <v>163</v>
      </c>
      <c r="K50" s="358" t="s">
        <v>73</v>
      </c>
      <c r="L50" s="358" t="s">
        <v>84</v>
      </c>
      <c r="M50" s="145" t="s">
        <v>92</v>
      </c>
      <c r="N50" s="188" t="s">
        <v>143</v>
      </c>
      <c r="O50" s="340" t="s">
        <v>459</v>
      </c>
      <c r="P50" s="340" t="s">
        <v>379</v>
      </c>
      <c r="Q50" s="216">
        <v>18</v>
      </c>
      <c r="R50" s="216">
        <v>18</v>
      </c>
      <c r="S50" s="433"/>
      <c r="T50" s="319"/>
      <c r="U50" s="438"/>
      <c r="V50" s="438"/>
      <c r="W50" s="442">
        <v>2</v>
      </c>
      <c r="X50" s="323"/>
      <c r="Y50" s="324"/>
      <c r="Z50" s="333"/>
      <c r="AA50" s="451"/>
      <c r="AB50" s="324"/>
      <c r="AC50" s="324"/>
      <c r="AD50" s="324"/>
      <c r="AE50" s="324"/>
      <c r="AF50" s="324"/>
      <c r="AG50" s="324"/>
      <c r="AH50" s="324"/>
      <c r="AI50" s="324"/>
      <c r="AJ50" s="325"/>
      <c r="AK50" s="191">
        <f>VLOOKUP(N50,Gapok!$B$5:$I$94,2,0)</f>
        <v>1020000</v>
      </c>
      <c r="AL50" s="371">
        <f>VLOOKUP(P50,'TJ. FUNGSIONAL'!$B$4:$F$34,5,0)</f>
        <v>900000</v>
      </c>
      <c r="AM50" s="191">
        <f>IF(R50+S50&gt;=Q50,(VLOOKUP(N50,Gapok!$B$5:$I$94,5,0)),((VLOOKUP('PER UNIT'!N50,Gapok!$B$5:$I$94,4,0)*('PER UNIT'!R50+'PER UNIT'!S50))))</f>
        <v>375000</v>
      </c>
      <c r="AN50" s="191">
        <f>VLOOKUP(P50,'TJ. FUNGSIONAL'!$B$4:$E$34,4,0)</f>
        <v>300000</v>
      </c>
      <c r="AO50" s="192">
        <f t="shared" si="16"/>
        <v>0</v>
      </c>
      <c r="AP50" s="193">
        <v>35000</v>
      </c>
      <c r="AQ50" s="194">
        <f t="shared" si="26"/>
        <v>50000</v>
      </c>
      <c r="AR50" s="195">
        <f t="shared" si="23"/>
        <v>0</v>
      </c>
      <c r="AS50" s="195">
        <f t="shared" si="28"/>
        <v>0</v>
      </c>
      <c r="AT50" s="326"/>
      <c r="AU50" s="327"/>
      <c r="AV50" s="327"/>
      <c r="AW50" s="327"/>
      <c r="AX50" s="327"/>
      <c r="AY50" s="327"/>
      <c r="AZ50" s="327"/>
      <c r="BA50" s="327"/>
      <c r="BB50" s="327"/>
      <c r="BC50" s="327"/>
      <c r="BD50" s="197">
        <f t="shared" si="24"/>
        <v>2680000</v>
      </c>
      <c r="BE50" s="198">
        <f t="shared" si="18"/>
        <v>0</v>
      </c>
      <c r="BF50" s="195">
        <f t="shared" si="29"/>
        <v>0</v>
      </c>
      <c r="BG50" s="195">
        <f t="shared" si="35"/>
        <v>0</v>
      </c>
      <c r="BH50" s="195">
        <v>0</v>
      </c>
      <c r="BI50" s="195">
        <v>0</v>
      </c>
      <c r="BJ50" s="439"/>
      <c r="BK50" s="328"/>
      <c r="BL50" s="107">
        <f t="shared" si="36"/>
        <v>0</v>
      </c>
      <c r="BM50" s="328"/>
      <c r="BN50" s="328"/>
      <c r="BO50" s="329"/>
      <c r="BP50" s="309">
        <f t="shared" si="37"/>
        <v>0</v>
      </c>
      <c r="BQ50" s="378"/>
      <c r="BR50" s="326"/>
      <c r="BS50" s="200">
        <f t="shared" si="22"/>
        <v>2680000</v>
      </c>
      <c r="BT50" s="452">
        <v>7141051614</v>
      </c>
    </row>
    <row r="51" spans="1:72" x14ac:dyDescent="0.45">
      <c r="A51" s="182">
        <v>45</v>
      </c>
      <c r="B51" s="252" t="s">
        <v>282</v>
      </c>
      <c r="C51" s="240" t="s">
        <v>1045</v>
      </c>
      <c r="D51" s="437">
        <v>225.26400000000001</v>
      </c>
      <c r="E51" s="251" t="s">
        <v>81</v>
      </c>
      <c r="F51" s="349" t="s">
        <v>977</v>
      </c>
      <c r="G51" s="278" t="s">
        <v>727</v>
      </c>
      <c r="H51" s="440" t="s">
        <v>978</v>
      </c>
      <c r="I51" s="365">
        <v>0</v>
      </c>
      <c r="J51" s="145" t="s">
        <v>163</v>
      </c>
      <c r="K51" s="365" t="s">
        <v>73</v>
      </c>
      <c r="L51" s="365" t="s">
        <v>84</v>
      </c>
      <c r="M51" s="145" t="s">
        <v>92</v>
      </c>
      <c r="N51" s="188" t="s">
        <v>143</v>
      </c>
      <c r="O51" s="340" t="s">
        <v>459</v>
      </c>
      <c r="P51" s="340" t="s">
        <v>379</v>
      </c>
      <c r="Q51" s="216">
        <v>18</v>
      </c>
      <c r="R51" s="216">
        <v>16</v>
      </c>
      <c r="S51" s="216"/>
      <c r="T51" s="348">
        <v>2</v>
      </c>
      <c r="U51" s="348"/>
      <c r="V51" s="348"/>
      <c r="W51" s="442">
        <v>2</v>
      </c>
      <c r="X51" s="274"/>
      <c r="Y51" s="266"/>
      <c r="Z51" s="261"/>
      <c r="AA51" s="337"/>
      <c r="AB51" s="266"/>
      <c r="AC51" s="266"/>
      <c r="AD51" s="266"/>
      <c r="AE51" s="266"/>
      <c r="AF51" s="266"/>
      <c r="AG51" s="266"/>
      <c r="AH51" s="266"/>
      <c r="AI51" s="266"/>
      <c r="AJ51" s="264"/>
      <c r="AK51" s="191">
        <f>VLOOKUP(N51,Gapok!$B$5:$I$94,2,0)</f>
        <v>1020000</v>
      </c>
      <c r="AL51" s="371">
        <f>VLOOKUP(P51,'TJ. FUNGSIONAL'!$B$4:$F$34,5,0)</f>
        <v>900000</v>
      </c>
      <c r="AM51" s="191">
        <f>IF(R51+S51&gt;=Q51,(VLOOKUP(N51,Gapok!$B$5:$I$94,5,0)),((VLOOKUP('PER UNIT'!N51,Gapok!$B$5:$I$94,4,0)*('PER UNIT'!R51+'PER UNIT'!S51))))</f>
        <v>240000</v>
      </c>
      <c r="AN51" s="191">
        <f>VLOOKUP(P51,'TJ. FUNGSIONAL'!$B$4:$E$34,4,0)</f>
        <v>300000</v>
      </c>
      <c r="AO51" s="192">
        <f t="shared" si="16"/>
        <v>0</v>
      </c>
      <c r="AP51" s="193">
        <v>35000</v>
      </c>
      <c r="AQ51" s="194">
        <f t="shared" si="26"/>
        <v>50000</v>
      </c>
      <c r="AR51" s="195">
        <f t="shared" si="23"/>
        <v>0</v>
      </c>
      <c r="AS51" s="195">
        <f t="shared" si="28"/>
        <v>0</v>
      </c>
      <c r="AT51" s="196"/>
      <c r="AU51" s="96"/>
      <c r="AV51" s="96"/>
      <c r="AW51" s="96"/>
      <c r="AX51" s="96"/>
      <c r="AY51" s="96"/>
      <c r="AZ51" s="96"/>
      <c r="BA51" s="96"/>
      <c r="BB51" s="96"/>
      <c r="BC51" s="96"/>
      <c r="BD51" s="197">
        <f t="shared" si="24"/>
        <v>2545000</v>
      </c>
      <c r="BE51" s="198">
        <f t="shared" si="18"/>
        <v>50000</v>
      </c>
      <c r="BF51" s="195">
        <f t="shared" si="29"/>
        <v>0</v>
      </c>
      <c r="BG51" s="195">
        <f t="shared" si="35"/>
        <v>0</v>
      </c>
      <c r="BH51" s="195">
        <v>0</v>
      </c>
      <c r="BI51" s="195">
        <v>0</v>
      </c>
      <c r="BJ51" s="195"/>
      <c r="BK51" s="107"/>
      <c r="BL51" s="107">
        <f t="shared" si="36"/>
        <v>0</v>
      </c>
      <c r="BM51" s="107"/>
      <c r="BN51" s="107"/>
      <c r="BO51" s="339"/>
      <c r="BP51" s="309">
        <f t="shared" si="37"/>
        <v>50000</v>
      </c>
      <c r="BQ51" s="378"/>
      <c r="BR51" s="326"/>
      <c r="BS51" s="200">
        <f t="shared" si="22"/>
        <v>2495000</v>
      </c>
      <c r="BT51" s="452">
        <v>7336452931</v>
      </c>
    </row>
    <row r="52" spans="1:72" x14ac:dyDescent="0.45">
      <c r="A52" s="182">
        <v>46</v>
      </c>
      <c r="B52" s="252" t="s">
        <v>287</v>
      </c>
      <c r="C52" s="240" t="s">
        <v>1046</v>
      </c>
      <c r="D52" s="437">
        <v>225.26499999999999</v>
      </c>
      <c r="E52" s="251" t="s">
        <v>81</v>
      </c>
      <c r="F52" s="349" t="s">
        <v>992</v>
      </c>
      <c r="G52" s="278" t="s">
        <v>727</v>
      </c>
      <c r="H52" s="472" t="s">
        <v>993</v>
      </c>
      <c r="I52" s="365">
        <v>0</v>
      </c>
      <c r="J52" s="145" t="s">
        <v>163</v>
      </c>
      <c r="K52" s="365" t="s">
        <v>73</v>
      </c>
      <c r="L52" s="365" t="s">
        <v>84</v>
      </c>
      <c r="M52" s="145" t="s">
        <v>92</v>
      </c>
      <c r="N52" s="188" t="s">
        <v>143</v>
      </c>
      <c r="O52" s="145" t="s">
        <v>994</v>
      </c>
      <c r="P52" s="145" t="s">
        <v>334</v>
      </c>
      <c r="Q52" s="216">
        <v>18</v>
      </c>
      <c r="R52" s="216">
        <v>17</v>
      </c>
      <c r="S52" s="487">
        <v>1</v>
      </c>
      <c r="T52" s="347"/>
      <c r="U52" s="348"/>
      <c r="V52" s="348"/>
      <c r="W52" s="442">
        <v>2</v>
      </c>
      <c r="X52" s="274"/>
      <c r="Y52" s="266"/>
      <c r="Z52" s="261"/>
      <c r="AA52" s="337"/>
      <c r="AB52" s="266"/>
      <c r="AC52" s="266"/>
      <c r="AD52" s="266"/>
      <c r="AE52" s="266"/>
      <c r="AF52" s="266"/>
      <c r="AG52" s="266"/>
      <c r="AH52" s="266"/>
      <c r="AI52" s="266"/>
      <c r="AJ52" s="264"/>
      <c r="AK52" s="191">
        <f>VLOOKUP(N52,Gapok!$B$5:$I$94,2,0)</f>
        <v>1020000</v>
      </c>
      <c r="AL52" s="371">
        <f>VLOOKUP(P52,'TJ. FUNGSIONAL'!$B$4:$F$34,5,0)</f>
        <v>600000</v>
      </c>
      <c r="AM52" s="191">
        <f>IF(R52+S52&gt;=Q52,(VLOOKUP(N52,Gapok!$B$5:$I$94,5,0)),((VLOOKUP('PER UNIT'!N52,Gapok!$B$5:$I$94,4,0)*('PER UNIT'!R52+'PER UNIT'!S52))))</f>
        <v>375000</v>
      </c>
      <c r="AN52" s="191">
        <f>VLOOKUP(P52,'TJ. FUNGSIONAL'!$B$4:$E$34,4,0)</f>
        <v>300000</v>
      </c>
      <c r="AO52" s="192">
        <f t="shared" si="16"/>
        <v>0</v>
      </c>
      <c r="AP52" s="193">
        <v>35000</v>
      </c>
      <c r="AQ52" s="194">
        <f t="shared" si="26"/>
        <v>50000</v>
      </c>
      <c r="AR52" s="195">
        <f t="shared" si="23"/>
        <v>0</v>
      </c>
      <c r="AS52" s="195">
        <f t="shared" si="28"/>
        <v>0</v>
      </c>
      <c r="AT52" s="196"/>
      <c r="AU52" s="96"/>
      <c r="AV52" s="96"/>
      <c r="AW52" s="96"/>
      <c r="AX52" s="96"/>
      <c r="AY52" s="96"/>
      <c r="AZ52" s="96"/>
      <c r="BA52" s="96"/>
      <c r="BB52" s="96"/>
      <c r="BC52" s="96"/>
      <c r="BD52" s="197">
        <f t="shared" si="24"/>
        <v>2380000</v>
      </c>
      <c r="BE52" s="198">
        <f t="shared" si="18"/>
        <v>0</v>
      </c>
      <c r="BF52" s="195">
        <f t="shared" si="29"/>
        <v>7500</v>
      </c>
      <c r="BG52" s="195">
        <f t="shared" si="35"/>
        <v>0</v>
      </c>
      <c r="BH52" s="195">
        <v>0</v>
      </c>
      <c r="BI52" s="195">
        <v>0</v>
      </c>
      <c r="BJ52" s="195"/>
      <c r="BK52" s="107"/>
      <c r="BL52" s="107">
        <f t="shared" si="36"/>
        <v>0</v>
      </c>
      <c r="BM52" s="107"/>
      <c r="BN52" s="107"/>
      <c r="BO52" s="339"/>
      <c r="BP52" s="309">
        <f t="shared" si="37"/>
        <v>7500</v>
      </c>
      <c r="BQ52" s="199"/>
      <c r="BR52" s="196"/>
      <c r="BS52" s="200">
        <f t="shared" si="22"/>
        <v>2372500</v>
      </c>
      <c r="BT52" s="453">
        <v>7098793709</v>
      </c>
    </row>
    <row r="53" spans="1:72" x14ac:dyDescent="0.45">
      <c r="A53" s="182">
        <v>47</v>
      </c>
      <c r="B53" s="252" t="s">
        <v>295</v>
      </c>
      <c r="C53" s="240" t="s">
        <v>1047</v>
      </c>
      <c r="D53" s="437">
        <v>225.26599999999999</v>
      </c>
      <c r="E53" s="251" t="s">
        <v>81</v>
      </c>
      <c r="F53" s="349" t="s">
        <v>995</v>
      </c>
      <c r="G53" s="278" t="s">
        <v>727</v>
      </c>
      <c r="H53" s="472" t="s">
        <v>996</v>
      </c>
      <c r="I53" s="365">
        <v>0</v>
      </c>
      <c r="J53" s="145" t="s">
        <v>163</v>
      </c>
      <c r="K53" s="365" t="s">
        <v>73</v>
      </c>
      <c r="L53" s="365" t="s">
        <v>84</v>
      </c>
      <c r="M53" s="145" t="s">
        <v>92</v>
      </c>
      <c r="N53" s="188" t="s">
        <v>143</v>
      </c>
      <c r="O53" s="340" t="s">
        <v>465</v>
      </c>
      <c r="P53" s="340" t="s">
        <v>177</v>
      </c>
      <c r="Q53" s="489">
        <v>18</v>
      </c>
      <c r="R53" s="488">
        <v>18</v>
      </c>
      <c r="S53" s="490"/>
      <c r="T53" s="347"/>
      <c r="U53" s="348"/>
      <c r="V53" s="348"/>
      <c r="W53" s="442">
        <v>2</v>
      </c>
      <c r="X53" s="274"/>
      <c r="Y53" s="266"/>
      <c r="Z53" s="261"/>
      <c r="AA53" s="337"/>
      <c r="AB53" s="266"/>
      <c r="AC53" s="266"/>
      <c r="AD53" s="266"/>
      <c r="AE53" s="266"/>
      <c r="AF53" s="266"/>
      <c r="AG53" s="266"/>
      <c r="AH53" s="266"/>
      <c r="AI53" s="266"/>
      <c r="AJ53" s="264"/>
      <c r="AK53" s="191">
        <f>VLOOKUP(N53,Gapok!$B$5:$I$94,2,0)</f>
        <v>1020000</v>
      </c>
      <c r="AL53" s="368">
        <f>0.8*VLOOKUP(P53,'TJ. FUNGSIONAL'!$B$4:$F$34,5,0)</f>
        <v>720000</v>
      </c>
      <c r="AM53" s="191">
        <f>IF(R53+S53&gt;=Q53,(VLOOKUP(N53,Gapok!$B$5:$I$94,5,0)),((VLOOKUP('PER UNIT'!N53,Gapok!$B$5:$I$94,4,0)*('PER UNIT'!R53+'PER UNIT'!S53))))</f>
        <v>375000</v>
      </c>
      <c r="AN53" s="191">
        <f>VLOOKUP(P53,'TJ. FUNGSIONAL'!$B$4:$E$34,4,0)</f>
        <v>300000</v>
      </c>
      <c r="AO53" s="192">
        <f t="shared" si="16"/>
        <v>0</v>
      </c>
      <c r="AP53" s="193">
        <v>35000</v>
      </c>
      <c r="AQ53" s="194">
        <f t="shared" si="26"/>
        <v>50000</v>
      </c>
      <c r="AR53" s="195">
        <f t="shared" si="23"/>
        <v>0</v>
      </c>
      <c r="AS53" s="195">
        <f t="shared" si="28"/>
        <v>0</v>
      </c>
      <c r="AT53" s="196"/>
      <c r="AU53" s="96"/>
      <c r="AV53" s="96"/>
      <c r="AW53" s="96"/>
      <c r="AX53" s="96"/>
      <c r="AY53" s="96"/>
      <c r="AZ53" s="96"/>
      <c r="BA53" s="96"/>
      <c r="BB53" s="96"/>
      <c r="BC53" s="96"/>
      <c r="BD53" s="197">
        <f t="shared" si="24"/>
        <v>2500000</v>
      </c>
      <c r="BE53" s="198">
        <f t="shared" si="18"/>
        <v>0</v>
      </c>
      <c r="BF53" s="195">
        <f t="shared" si="29"/>
        <v>0</v>
      </c>
      <c r="BG53" s="195">
        <f t="shared" si="35"/>
        <v>0</v>
      </c>
      <c r="BH53" s="195">
        <v>0</v>
      </c>
      <c r="BI53" s="195">
        <v>0</v>
      </c>
      <c r="BJ53" s="195"/>
      <c r="BK53" s="107"/>
      <c r="BL53" s="107">
        <f t="shared" si="36"/>
        <v>0</v>
      </c>
      <c r="BM53" s="107"/>
      <c r="BN53" s="107"/>
      <c r="BO53" s="339"/>
      <c r="BP53" s="309">
        <f t="shared" si="37"/>
        <v>0</v>
      </c>
      <c r="BQ53" s="199"/>
      <c r="BR53" s="196"/>
      <c r="BS53" s="200">
        <f t="shared" si="22"/>
        <v>2500000</v>
      </c>
      <c r="BT53" s="453">
        <v>7325483018</v>
      </c>
    </row>
    <row r="54" spans="1:72" x14ac:dyDescent="0.45">
      <c r="A54" s="182">
        <v>48</v>
      </c>
      <c r="B54" s="252" t="s">
        <v>299</v>
      </c>
      <c r="C54" s="240" t="s">
        <v>1048</v>
      </c>
      <c r="D54" s="233" t="s">
        <v>908</v>
      </c>
      <c r="E54" s="234" t="s">
        <v>130</v>
      </c>
      <c r="F54" s="353" t="s">
        <v>857</v>
      </c>
      <c r="G54" s="278" t="s">
        <v>727</v>
      </c>
      <c r="H54" s="186" t="s">
        <v>858</v>
      </c>
      <c r="I54" s="362">
        <v>11</v>
      </c>
      <c r="J54" s="187" t="s">
        <v>72</v>
      </c>
      <c r="K54" s="187" t="s">
        <v>73</v>
      </c>
      <c r="L54" s="187" t="s">
        <v>84</v>
      </c>
      <c r="M54" s="187" t="s">
        <v>120</v>
      </c>
      <c r="N54" s="205" t="s">
        <v>132</v>
      </c>
      <c r="O54" s="340" t="str">
        <f>VLOOKUP(P54,'TJ. FUNGSIONAL'!$B$4:$C$34,2,0)</f>
        <v>Wakil Kepala SMP</v>
      </c>
      <c r="P54" s="362" t="s">
        <v>133</v>
      </c>
      <c r="Q54" s="376">
        <v>18</v>
      </c>
      <c r="R54" s="369">
        <v>15</v>
      </c>
      <c r="S54" s="369">
        <v>3</v>
      </c>
      <c r="T54" s="434"/>
      <c r="U54" s="369"/>
      <c r="V54" s="369"/>
      <c r="W54" s="446"/>
      <c r="X54" s="255"/>
      <c r="Y54" s="267"/>
      <c r="Z54" s="261">
        <v>3</v>
      </c>
      <c r="AA54" s="337">
        <v>1</v>
      </c>
      <c r="AB54" s="261"/>
      <c r="AC54" s="261"/>
      <c r="AD54" s="261"/>
      <c r="AE54" s="261"/>
      <c r="AF54" s="261"/>
      <c r="AG54" s="259"/>
      <c r="AH54" s="189"/>
      <c r="AI54" s="261"/>
      <c r="AJ54" s="261"/>
      <c r="AK54" s="191">
        <f>VLOOKUP(N54,Gapok!$B$5:$I$94,6,0)</f>
        <v>2150000</v>
      </c>
      <c r="AL54" s="191">
        <f>VLOOKUP(P54,'TJ. FUNGSIONAL'!$B$4:$F$34,5,0)</f>
        <v>2000000</v>
      </c>
      <c r="AM54" s="191">
        <f>IF(R54+S54&gt;=Q54,(VLOOKUP(N54,Gapok!$B$5:$I$94,8,0)),((VLOOKUP('PER UNIT'!N54,Gapok!$B$5:$I$94,7,0)*('PER UNIT'!R54+'PER UNIT'!S54))))</f>
        <v>475000</v>
      </c>
      <c r="AN54" s="191">
        <f>VLOOKUP(P54,'TJ. FUNGSIONAL'!$B$4:$E$34,4,0)</f>
        <v>500000</v>
      </c>
      <c r="AO54" s="192">
        <f t="shared" si="16"/>
        <v>550000</v>
      </c>
      <c r="AP54" s="193">
        <v>35000</v>
      </c>
      <c r="AQ54" s="194">
        <f t="shared" si="26"/>
        <v>0</v>
      </c>
      <c r="AR54" s="195">
        <f t="shared" si="23"/>
        <v>140000</v>
      </c>
      <c r="AS54" s="195">
        <f t="shared" ref="AS54:AS66" si="38">25000*AF54</f>
        <v>0</v>
      </c>
      <c r="AT54" s="196"/>
      <c r="AU54" s="96"/>
      <c r="AV54" s="96"/>
      <c r="AW54" s="96"/>
      <c r="AX54" s="96"/>
      <c r="AY54" s="96"/>
      <c r="AZ54" s="96"/>
      <c r="BA54" s="96"/>
      <c r="BB54" s="96">
        <v>960000</v>
      </c>
      <c r="BC54" s="96">
        <v>84800</v>
      </c>
      <c r="BD54" s="197">
        <f t="shared" si="24"/>
        <v>6894800</v>
      </c>
      <c r="BE54" s="198">
        <f t="shared" si="18"/>
        <v>0</v>
      </c>
      <c r="BF54" s="195">
        <f t="shared" si="29"/>
        <v>22500</v>
      </c>
      <c r="BG54" s="195">
        <f t="shared" si="35"/>
        <v>0</v>
      </c>
      <c r="BH54" s="195">
        <v>35000</v>
      </c>
      <c r="BI54" s="195">
        <v>0</v>
      </c>
      <c r="BJ54" s="195"/>
      <c r="BK54" s="107">
        <v>40000</v>
      </c>
      <c r="BL54" s="107">
        <f t="shared" si="36"/>
        <v>0</v>
      </c>
      <c r="BM54" s="107"/>
      <c r="BN54" s="96">
        <v>84800</v>
      </c>
      <c r="BO54" s="311"/>
      <c r="BP54" s="309">
        <f t="shared" si="37"/>
        <v>182300</v>
      </c>
      <c r="BQ54" s="199"/>
      <c r="BR54" s="196"/>
      <c r="BS54" s="200">
        <f t="shared" si="22"/>
        <v>6712500</v>
      </c>
      <c r="BT54" s="224">
        <v>7106887408</v>
      </c>
    </row>
    <row r="55" spans="1:72" x14ac:dyDescent="0.45">
      <c r="A55" s="182">
        <v>49</v>
      </c>
      <c r="B55" s="252" t="s">
        <v>282</v>
      </c>
      <c r="C55" s="240" t="s">
        <v>1049</v>
      </c>
      <c r="D55" s="235" t="s">
        <v>909</v>
      </c>
      <c r="E55" s="236" t="s">
        <v>130</v>
      </c>
      <c r="F55" s="354" t="s">
        <v>859</v>
      </c>
      <c r="G55" s="278" t="s">
        <v>727</v>
      </c>
      <c r="H55" s="213" t="s">
        <v>860</v>
      </c>
      <c r="I55" s="364">
        <v>10</v>
      </c>
      <c r="J55" s="226" t="s">
        <v>72</v>
      </c>
      <c r="K55" s="226" t="s">
        <v>73</v>
      </c>
      <c r="L55" s="226" t="s">
        <v>74</v>
      </c>
      <c r="M55" s="226" t="s">
        <v>112</v>
      </c>
      <c r="N55" s="227" t="s">
        <v>143</v>
      </c>
      <c r="O55" s="340" t="str">
        <f>VLOOKUP(P55,'TJ. FUNGSIONAL'!$B$4:$C$34,2,0)</f>
        <v>Wakil Kepala SMP</v>
      </c>
      <c r="P55" s="364" t="s">
        <v>133</v>
      </c>
      <c r="Q55" s="376">
        <v>18</v>
      </c>
      <c r="R55" s="369">
        <v>18</v>
      </c>
      <c r="S55" s="369">
        <v>0</v>
      </c>
      <c r="T55" s="434"/>
      <c r="U55" s="369"/>
      <c r="V55" s="369"/>
      <c r="W55" s="446"/>
      <c r="X55" s="255"/>
      <c r="Y55" s="267"/>
      <c r="Z55" s="317"/>
      <c r="AA55" s="317">
        <v>3</v>
      </c>
      <c r="AB55" s="261"/>
      <c r="AC55" s="261"/>
      <c r="AD55" s="261"/>
      <c r="AE55" s="261"/>
      <c r="AF55" s="261"/>
      <c r="AG55" s="277">
        <v>45</v>
      </c>
      <c r="AH55" s="189"/>
      <c r="AI55" s="261"/>
      <c r="AJ55" s="261"/>
      <c r="AK55" s="191">
        <f>VLOOKUP(N55,Gapok!$B$5:$I$94,6,0)</f>
        <v>1350000</v>
      </c>
      <c r="AL55" s="191">
        <f>VLOOKUP(P55,'TJ. FUNGSIONAL'!$B$4:$F$34,5,0)</f>
        <v>2000000</v>
      </c>
      <c r="AM55" s="191">
        <f>IF(R55+S55&gt;=Q55,VLOOKUP(N55,Gapok!$B$5:$I$94,8,0),VLOOKUP('PER UNIT'!N55,Gapok!$B$5:$I$94,7,0)*('PER UNIT'!R55+'PER UNIT'!S55))</f>
        <v>425000</v>
      </c>
      <c r="AN55" s="191">
        <v>0</v>
      </c>
      <c r="AO55" s="192">
        <f t="shared" si="16"/>
        <v>500000</v>
      </c>
      <c r="AP55" s="193">
        <v>35000</v>
      </c>
      <c r="AQ55" s="194">
        <f t="shared" si="26"/>
        <v>0</v>
      </c>
      <c r="AR55" s="195">
        <f t="shared" ref="AR55:AR66" si="39">Z55*30000+AA55*50000</f>
        <v>150000</v>
      </c>
      <c r="AS55" s="195">
        <f t="shared" si="38"/>
        <v>0</v>
      </c>
      <c r="AT55" s="196"/>
      <c r="AU55" s="96"/>
      <c r="AV55" s="96"/>
      <c r="AW55" s="96"/>
      <c r="AX55" s="96">
        <f>30000*AG55</f>
        <v>1350000</v>
      </c>
      <c r="AY55" s="96" t="s">
        <v>861</v>
      </c>
      <c r="AZ55" s="96"/>
      <c r="BA55" s="96"/>
      <c r="BB55" s="96">
        <v>960000</v>
      </c>
      <c r="BC55" s="96">
        <v>84800</v>
      </c>
      <c r="BD55" s="197">
        <f t="shared" si="24"/>
        <v>6854800</v>
      </c>
      <c r="BE55" s="198">
        <f t="shared" si="18"/>
        <v>0</v>
      </c>
      <c r="BF55" s="195">
        <f t="shared" si="29"/>
        <v>0</v>
      </c>
      <c r="BG55" s="195">
        <f t="shared" si="35"/>
        <v>0</v>
      </c>
      <c r="BH55" s="195">
        <v>35000</v>
      </c>
      <c r="BI55" s="195">
        <v>0</v>
      </c>
      <c r="BJ55" s="195"/>
      <c r="BK55" s="107">
        <v>40000</v>
      </c>
      <c r="BL55" s="107">
        <f t="shared" si="36"/>
        <v>0</v>
      </c>
      <c r="BM55" s="107"/>
      <c r="BN55" s="96">
        <v>84800</v>
      </c>
      <c r="BO55" s="311"/>
      <c r="BP55" s="309">
        <f t="shared" si="37"/>
        <v>159800</v>
      </c>
      <c r="BQ55" s="107">
        <v>300000</v>
      </c>
      <c r="BR55" s="196" t="s">
        <v>980</v>
      </c>
      <c r="BS55" s="200">
        <f t="shared" si="22"/>
        <v>6995000</v>
      </c>
      <c r="BT55" s="224">
        <v>7106887475</v>
      </c>
    </row>
    <row r="56" spans="1:72" x14ac:dyDescent="0.45">
      <c r="A56" s="182">
        <v>50</v>
      </c>
      <c r="B56" s="252" t="s">
        <v>287</v>
      </c>
      <c r="C56" s="240" t="s">
        <v>1050</v>
      </c>
      <c r="D56" s="233" t="s">
        <v>910</v>
      </c>
      <c r="E56" s="237" t="s">
        <v>130</v>
      </c>
      <c r="F56" s="355" t="s">
        <v>181</v>
      </c>
      <c r="G56" s="278" t="s">
        <v>727</v>
      </c>
      <c r="H56" s="186" t="s">
        <v>862</v>
      </c>
      <c r="I56" s="340">
        <v>7</v>
      </c>
      <c r="J56" s="187" t="s">
        <v>72</v>
      </c>
      <c r="K56" s="145" t="s">
        <v>182</v>
      </c>
      <c r="L56" s="145" t="s">
        <v>84</v>
      </c>
      <c r="M56" s="145" t="s">
        <v>120</v>
      </c>
      <c r="N56" s="188" t="s">
        <v>183</v>
      </c>
      <c r="O56" s="340" t="str">
        <f>VLOOKUP(P56,'TJ. FUNGSIONAL'!$B$4:$C$34,2,0)</f>
        <v>Kepala SMP</v>
      </c>
      <c r="P56" s="340" t="s">
        <v>184</v>
      </c>
      <c r="Q56" s="376">
        <v>18</v>
      </c>
      <c r="R56" s="369">
        <v>15</v>
      </c>
      <c r="S56" s="369">
        <v>3</v>
      </c>
      <c r="T56" s="434"/>
      <c r="U56" s="369"/>
      <c r="V56" s="369"/>
      <c r="W56" s="446">
        <v>1</v>
      </c>
      <c r="X56" s="255"/>
      <c r="Y56" s="267"/>
      <c r="Z56" s="317"/>
      <c r="AA56" s="317">
        <v>1</v>
      </c>
      <c r="AB56" s="261"/>
      <c r="AC56" s="261"/>
      <c r="AD56" s="261"/>
      <c r="AE56" s="261"/>
      <c r="AF56" s="261"/>
      <c r="AG56" s="259"/>
      <c r="AH56" s="189"/>
      <c r="AI56" s="189">
        <v>1</v>
      </c>
      <c r="AJ56" s="261"/>
      <c r="AK56" s="191">
        <f>VLOOKUP(N56,Gapok!$B$5:$I$94,6,0)</f>
        <v>2200000</v>
      </c>
      <c r="AL56" s="191">
        <f>VLOOKUP(P56,'TJ. FUNGSIONAL'!$B$4:$F$34,5,0)</f>
        <v>2300000</v>
      </c>
      <c r="AM56" s="191">
        <f>IF(R56+S56&gt;=Q56,VLOOKUP(N56,Gapok!$B$5:$I$94,8,0),VLOOKUP('PER UNIT'!N56,Gapok!$B$5:$I$94,7,0)*('PER UNIT'!R56+'PER UNIT'!S56))</f>
        <v>500000</v>
      </c>
      <c r="AN56" s="191">
        <f>VLOOKUP(P56,'TJ. FUNGSIONAL'!$B$4:$E$34,4,0)</f>
        <v>750000</v>
      </c>
      <c r="AO56" s="192">
        <f t="shared" si="16"/>
        <v>350000</v>
      </c>
      <c r="AP56" s="193">
        <v>35000</v>
      </c>
      <c r="AQ56" s="194">
        <f t="shared" si="26"/>
        <v>75000</v>
      </c>
      <c r="AR56" s="195">
        <f t="shared" si="39"/>
        <v>50000</v>
      </c>
      <c r="AS56" s="195">
        <f t="shared" si="38"/>
        <v>0</v>
      </c>
      <c r="AT56" s="196"/>
      <c r="AU56" s="96"/>
      <c r="AV56" s="96"/>
      <c r="AW56" s="96"/>
      <c r="AX56" s="96">
        <f>20000*AG56</f>
        <v>0</v>
      </c>
      <c r="AY56" s="96"/>
      <c r="AZ56" s="96"/>
      <c r="BA56" s="96"/>
      <c r="BB56" s="96">
        <v>960000</v>
      </c>
      <c r="BC56" s="96">
        <v>84800</v>
      </c>
      <c r="BD56" s="197">
        <f t="shared" si="24"/>
        <v>7304800</v>
      </c>
      <c r="BE56" s="198">
        <f t="shared" si="18"/>
        <v>0</v>
      </c>
      <c r="BF56" s="195">
        <f t="shared" si="29"/>
        <v>22500</v>
      </c>
      <c r="BG56" s="195">
        <f t="shared" si="35"/>
        <v>0</v>
      </c>
      <c r="BH56" s="195">
        <v>35000</v>
      </c>
      <c r="BI56" s="195">
        <v>0</v>
      </c>
      <c r="BJ56" s="195"/>
      <c r="BK56" s="107">
        <v>40000</v>
      </c>
      <c r="BL56" s="107">
        <f t="shared" si="36"/>
        <v>0</v>
      </c>
      <c r="BM56" s="107"/>
      <c r="BN56" s="96">
        <v>84800</v>
      </c>
      <c r="BO56" s="311"/>
      <c r="BP56" s="309">
        <f t="shared" si="37"/>
        <v>182300</v>
      </c>
      <c r="BQ56" s="107"/>
      <c r="BR56" s="196"/>
      <c r="BS56" s="200">
        <f t="shared" si="22"/>
        <v>7122500</v>
      </c>
      <c r="BT56" s="224">
        <v>7121723427</v>
      </c>
    </row>
    <row r="57" spans="1:72" x14ac:dyDescent="0.45">
      <c r="A57" s="182">
        <v>51</v>
      </c>
      <c r="B57" s="252" t="s">
        <v>361</v>
      </c>
      <c r="C57" s="240" t="s">
        <v>1051</v>
      </c>
      <c r="D57" s="233" t="s">
        <v>911</v>
      </c>
      <c r="E57" s="237" t="s">
        <v>130</v>
      </c>
      <c r="F57" s="355" t="s">
        <v>344</v>
      </c>
      <c r="G57" s="278" t="s">
        <v>727</v>
      </c>
      <c r="H57" s="186" t="s">
        <v>345</v>
      </c>
      <c r="I57" s="340">
        <v>3</v>
      </c>
      <c r="J57" s="145" t="s">
        <v>163</v>
      </c>
      <c r="K57" s="145" t="s">
        <v>83</v>
      </c>
      <c r="L57" s="145" t="s">
        <v>346</v>
      </c>
      <c r="M57" s="145" t="s">
        <v>317</v>
      </c>
      <c r="N57" s="188" t="s">
        <v>210</v>
      </c>
      <c r="O57" s="340" t="str">
        <f>VLOOKUP(P57,'TJ. FUNGSIONAL'!$B$4:$C$34,2,0)</f>
        <v>Petugas Keamanan</v>
      </c>
      <c r="P57" s="340" t="s">
        <v>171</v>
      </c>
      <c r="Q57" s="376">
        <v>26</v>
      </c>
      <c r="R57" s="369">
        <v>23</v>
      </c>
      <c r="S57" s="369">
        <v>1</v>
      </c>
      <c r="T57" s="434"/>
      <c r="U57" s="369">
        <v>2</v>
      </c>
      <c r="V57" s="279"/>
      <c r="W57" s="447"/>
      <c r="X57" s="256"/>
      <c r="Y57" s="261"/>
      <c r="Z57" s="261">
        <v>7</v>
      </c>
      <c r="AA57" s="261">
        <v>6</v>
      </c>
      <c r="AB57" s="261"/>
      <c r="AC57" s="261"/>
      <c r="AD57" s="261"/>
      <c r="AE57" s="261"/>
      <c r="AF57" s="261">
        <v>18</v>
      </c>
      <c r="AG57" s="259"/>
      <c r="AH57" s="185"/>
      <c r="AI57" s="185"/>
      <c r="AJ57" s="261"/>
      <c r="AK57" s="191">
        <f>VLOOKUP(N57,Gapok!$B$5:$I$94,2,0)</f>
        <v>800000</v>
      </c>
      <c r="AL57" s="191">
        <f>VLOOKUP(P57,'TJ. FUNGSIONAL'!$B$4:$F$34,5,0)</f>
        <v>1200000</v>
      </c>
      <c r="AM57" s="191">
        <f>IF(R57+S57&gt;=Q57,VLOOKUP(N57,Gapok!$B$5:$I$94,8,0),VLOOKUP('PER UNIT'!N57,Gapok!$B$5:$I$94,7,0)*('PER UNIT'!R57+'PER UNIT'!S57))</f>
        <v>360000</v>
      </c>
      <c r="AN57" s="191">
        <f>VLOOKUP(P57,'TJ. FUNGSIONAL'!$B$4:$E$34,4,0)</f>
        <v>300000</v>
      </c>
      <c r="AO57" s="192">
        <f t="shared" si="16"/>
        <v>150000</v>
      </c>
      <c r="AP57" s="193">
        <v>35000</v>
      </c>
      <c r="AQ57" s="194">
        <f t="shared" si="26"/>
        <v>0</v>
      </c>
      <c r="AR57" s="195">
        <f t="shared" si="39"/>
        <v>510000</v>
      </c>
      <c r="AS57" s="195">
        <f t="shared" si="38"/>
        <v>450000</v>
      </c>
      <c r="AT57" s="196"/>
      <c r="AU57" s="96"/>
      <c r="AV57" s="96"/>
      <c r="AW57" s="96"/>
      <c r="AX57" s="96"/>
      <c r="AY57" s="96"/>
      <c r="AZ57" s="96"/>
      <c r="BA57" s="96"/>
      <c r="BB57" s="96"/>
      <c r="BC57" s="96"/>
      <c r="BD57" s="197">
        <f t="shared" si="24"/>
        <v>3805000</v>
      </c>
      <c r="BE57" s="198">
        <f t="shared" si="18"/>
        <v>80000</v>
      </c>
      <c r="BF57" s="195" t="s">
        <v>863</v>
      </c>
      <c r="BG57" s="195">
        <v>0</v>
      </c>
      <c r="BH57" s="195">
        <v>105000</v>
      </c>
      <c r="BI57" s="238">
        <v>187500</v>
      </c>
      <c r="BJ57" s="195"/>
      <c r="BK57" s="107"/>
      <c r="BL57" s="107">
        <f t="shared" si="36"/>
        <v>0</v>
      </c>
      <c r="BM57" s="107"/>
      <c r="BN57" s="107"/>
      <c r="BO57" s="311"/>
      <c r="BP57" s="309">
        <f t="shared" si="37"/>
        <v>372500</v>
      </c>
      <c r="BQ57" s="199">
        <f>26*25000</f>
        <v>650000</v>
      </c>
      <c r="BR57" s="275" t="s">
        <v>964</v>
      </c>
      <c r="BS57" s="200">
        <f t="shared" si="22"/>
        <v>4082500</v>
      </c>
      <c r="BT57" s="224">
        <v>7198389875</v>
      </c>
    </row>
    <row r="58" spans="1:72" x14ac:dyDescent="0.45">
      <c r="A58" s="182">
        <v>52</v>
      </c>
      <c r="B58" s="252" t="s">
        <v>365</v>
      </c>
      <c r="C58" s="240" t="s">
        <v>1052</v>
      </c>
      <c r="D58" s="233" t="s">
        <v>912</v>
      </c>
      <c r="E58" s="237" t="s">
        <v>130</v>
      </c>
      <c r="F58" s="185" t="s">
        <v>428</v>
      </c>
      <c r="G58" s="278" t="s">
        <v>727</v>
      </c>
      <c r="H58" s="186" t="s">
        <v>424</v>
      </c>
      <c r="I58" s="340">
        <v>2</v>
      </c>
      <c r="J58" s="145" t="s">
        <v>163</v>
      </c>
      <c r="K58" s="145" t="s">
        <v>73</v>
      </c>
      <c r="L58" s="145" t="s">
        <v>74</v>
      </c>
      <c r="M58" s="145" t="s">
        <v>317</v>
      </c>
      <c r="N58" s="188" t="s">
        <v>210</v>
      </c>
      <c r="O58" s="340" t="str">
        <f>VLOOKUP(P58,'TJ. FUNGSIONAL'!$B$4:$C$34,2,0)</f>
        <v>Staf Admin SMP</v>
      </c>
      <c r="P58" s="340" t="s">
        <v>429</v>
      </c>
      <c r="Q58" s="376">
        <v>18</v>
      </c>
      <c r="R58" s="369">
        <v>13</v>
      </c>
      <c r="S58" s="369">
        <v>5</v>
      </c>
      <c r="T58" s="434"/>
      <c r="U58" s="369"/>
      <c r="V58" s="276"/>
      <c r="W58" s="446">
        <v>1</v>
      </c>
      <c r="X58" s="255"/>
      <c r="Y58" s="267"/>
      <c r="Z58" s="261">
        <v>4</v>
      </c>
      <c r="AA58" s="261">
        <v>1</v>
      </c>
      <c r="AB58" s="261"/>
      <c r="AC58" s="261"/>
      <c r="AD58" s="261"/>
      <c r="AE58" s="261"/>
      <c r="AF58" s="261"/>
      <c r="AG58" s="259"/>
      <c r="AH58" s="185"/>
      <c r="AI58" s="185"/>
      <c r="AJ58" s="261"/>
      <c r="AK58" s="191">
        <f>VLOOKUP(N58,Gapok!$B$5:$I$94,2,0)</f>
        <v>800000</v>
      </c>
      <c r="AL58" s="191">
        <f>VLOOKUP(P58,'TJ. FUNGSIONAL'!$B$4:$F$34,3,0)</f>
        <v>600000</v>
      </c>
      <c r="AM58" s="191">
        <f>IF(R58+S58&gt;=Q58,(VLOOKUP(N58,Gapok!$B$5:$I$94,5,0)),((VLOOKUP('PER UNIT'!N58,Gapok!$B$5:$I$94,4,0)*('PER UNIT'!R58+'PER UNIT'!S58))))</f>
        <v>375000</v>
      </c>
      <c r="AN58" s="191">
        <f>VLOOKUP(P58,'TJ. FUNGSIONAL'!$B$4:$E$34,4,0)</f>
        <v>300000</v>
      </c>
      <c r="AO58" s="192">
        <f t="shared" si="16"/>
        <v>100000</v>
      </c>
      <c r="AP58" s="193">
        <v>35000</v>
      </c>
      <c r="AQ58" s="194">
        <f t="shared" si="26"/>
        <v>25000</v>
      </c>
      <c r="AR58" s="195">
        <f t="shared" si="39"/>
        <v>170000</v>
      </c>
      <c r="AS58" s="195">
        <f t="shared" si="38"/>
        <v>0</v>
      </c>
      <c r="AT58" s="196"/>
      <c r="AU58" s="96"/>
      <c r="AV58" s="96"/>
      <c r="AW58" s="96"/>
      <c r="AX58" s="96">
        <f>30000*AG58</f>
        <v>0</v>
      </c>
      <c r="AY58" s="96"/>
      <c r="AZ58" s="96"/>
      <c r="BA58" s="96"/>
      <c r="BB58" s="96"/>
      <c r="BC58" s="96"/>
      <c r="BD58" s="197">
        <f t="shared" si="24"/>
        <v>2405000</v>
      </c>
      <c r="BE58" s="198">
        <f t="shared" si="18"/>
        <v>0</v>
      </c>
      <c r="BF58" s="195">
        <f t="shared" ref="BF58:BF66" si="40">7500*S58</f>
        <v>37500</v>
      </c>
      <c r="BG58" s="195">
        <f t="shared" ref="BG58:BG66" si="41">250000*AD58+175000*AE58</f>
        <v>0</v>
      </c>
      <c r="BH58" s="195">
        <v>0</v>
      </c>
      <c r="BI58" s="239">
        <v>0</v>
      </c>
      <c r="BJ58" s="195"/>
      <c r="BK58" s="107"/>
      <c r="BL58" s="107">
        <f t="shared" si="36"/>
        <v>0</v>
      </c>
      <c r="BM58" s="107"/>
      <c r="BN58" s="107"/>
      <c r="BO58" s="311"/>
      <c r="BP58" s="309">
        <f t="shared" si="37"/>
        <v>37500</v>
      </c>
      <c r="BQ58" s="199"/>
      <c r="BR58" s="196"/>
      <c r="BS58" s="200">
        <f t="shared" si="22"/>
        <v>2367500</v>
      </c>
      <c r="BT58" s="224">
        <v>7240885594</v>
      </c>
    </row>
    <row r="59" spans="1:72" x14ac:dyDescent="0.45">
      <c r="A59" s="182">
        <v>53</v>
      </c>
      <c r="B59" s="252" t="s">
        <v>370</v>
      </c>
      <c r="C59" s="240" t="s">
        <v>1053</v>
      </c>
      <c r="D59" s="233" t="s">
        <v>913</v>
      </c>
      <c r="E59" s="237" t="s">
        <v>130</v>
      </c>
      <c r="F59" s="185" t="s">
        <v>498</v>
      </c>
      <c r="G59" s="278" t="s">
        <v>727</v>
      </c>
      <c r="H59" s="186" t="s">
        <v>949</v>
      </c>
      <c r="I59" s="340">
        <v>0</v>
      </c>
      <c r="J59" s="145" t="s">
        <v>163</v>
      </c>
      <c r="K59" s="145" t="s">
        <v>176</v>
      </c>
      <c r="L59" s="145" t="s">
        <v>74</v>
      </c>
      <c r="M59" s="145" t="s">
        <v>317</v>
      </c>
      <c r="N59" s="188" t="s">
        <v>210</v>
      </c>
      <c r="O59" s="340" t="s">
        <v>453</v>
      </c>
      <c r="P59" s="340" t="s">
        <v>707</v>
      </c>
      <c r="Q59" s="376">
        <v>18</v>
      </c>
      <c r="R59" s="369">
        <v>18</v>
      </c>
      <c r="S59" s="369"/>
      <c r="T59" s="434"/>
      <c r="U59" s="369"/>
      <c r="V59" s="369"/>
      <c r="W59" s="446"/>
      <c r="X59" s="255"/>
      <c r="Y59" s="267"/>
      <c r="Z59" s="267"/>
      <c r="AA59" s="317">
        <v>1</v>
      </c>
      <c r="AB59" s="261"/>
      <c r="AC59" s="261"/>
      <c r="AD59" s="261"/>
      <c r="AE59" s="261"/>
      <c r="AF59" s="261"/>
      <c r="AG59" s="277">
        <v>21</v>
      </c>
      <c r="AH59" s="185"/>
      <c r="AI59" s="185"/>
      <c r="AJ59" s="261"/>
      <c r="AK59" s="191">
        <f>VLOOKUP(N59,Gapok!$B$5:$I$94,2,0)</f>
        <v>800000</v>
      </c>
      <c r="AL59" s="191">
        <f>VLOOKUP(P59,'TJ. FUNGSIONAL'!$B$4:$F$34,3,0)</f>
        <v>1150000</v>
      </c>
      <c r="AM59" s="191">
        <f>IF(R59+S59&gt;=Q59,(VLOOKUP(N59,Gapok!$B$5:$I$94,5,0)),((VLOOKUP('PER UNIT'!N59,Gapok!$B$5:$I$94,4,0)*('PER UNIT'!R59+'PER UNIT'!S59))))</f>
        <v>375000</v>
      </c>
      <c r="AN59" s="191">
        <v>300000</v>
      </c>
      <c r="AO59" s="192">
        <f t="shared" si="16"/>
        <v>0</v>
      </c>
      <c r="AP59" s="193">
        <v>35000</v>
      </c>
      <c r="AQ59" s="194">
        <f t="shared" si="26"/>
        <v>0</v>
      </c>
      <c r="AR59" s="195">
        <f t="shared" si="39"/>
        <v>50000</v>
      </c>
      <c r="AS59" s="195">
        <f t="shared" si="38"/>
        <v>0</v>
      </c>
      <c r="AT59" s="196"/>
      <c r="AU59" s="96"/>
      <c r="AV59" s="96"/>
      <c r="AW59" s="96"/>
      <c r="AX59" s="96">
        <f>30000*AG59</f>
        <v>630000</v>
      </c>
      <c r="AY59" s="96" t="s">
        <v>861</v>
      </c>
      <c r="AZ59" s="96"/>
      <c r="BA59" s="96"/>
      <c r="BB59" s="96"/>
      <c r="BC59" s="96"/>
      <c r="BD59" s="197">
        <f t="shared" si="24"/>
        <v>3340000</v>
      </c>
      <c r="BE59" s="198">
        <f t="shared" si="18"/>
        <v>0</v>
      </c>
      <c r="BF59" s="195">
        <f t="shared" si="40"/>
        <v>0</v>
      </c>
      <c r="BG59" s="195">
        <f t="shared" si="41"/>
        <v>0</v>
      </c>
      <c r="BH59" s="195">
        <v>0</v>
      </c>
      <c r="BI59" s="238">
        <v>200000</v>
      </c>
      <c r="BJ59" s="195"/>
      <c r="BK59" s="107"/>
      <c r="BL59" s="107">
        <f t="shared" si="36"/>
        <v>0</v>
      </c>
      <c r="BM59" s="107"/>
      <c r="BN59" s="107"/>
      <c r="BO59" s="311"/>
      <c r="BP59" s="309">
        <f t="shared" si="37"/>
        <v>200000</v>
      </c>
      <c r="BQ59" s="199"/>
      <c r="BR59" s="196"/>
      <c r="BS59" s="200">
        <f t="shared" si="22"/>
        <v>3140000</v>
      </c>
      <c r="BT59" s="224">
        <v>7235709718</v>
      </c>
    </row>
    <row r="60" spans="1:72" x14ac:dyDescent="0.45">
      <c r="A60" s="182">
        <v>54</v>
      </c>
      <c r="B60" s="252" t="s">
        <v>375</v>
      </c>
      <c r="C60" s="240" t="s">
        <v>1054</v>
      </c>
      <c r="D60" s="372" t="s">
        <v>914</v>
      </c>
      <c r="E60" s="237" t="s">
        <v>130</v>
      </c>
      <c r="F60" s="185" t="s">
        <v>525</v>
      </c>
      <c r="G60" s="278" t="s">
        <v>727</v>
      </c>
      <c r="H60" s="373" t="s">
        <v>526</v>
      </c>
      <c r="I60" s="340">
        <v>2</v>
      </c>
      <c r="J60" s="145" t="s">
        <v>163</v>
      </c>
      <c r="K60" s="145" t="s">
        <v>176</v>
      </c>
      <c r="L60" s="145" t="s">
        <v>74</v>
      </c>
      <c r="M60" s="145" t="s">
        <v>317</v>
      </c>
      <c r="N60" s="188" t="s">
        <v>210</v>
      </c>
      <c r="O60" s="340" t="str">
        <f>VLOOKUP(P60,'TJ. FUNGSIONAL'!$B$4:$C$34,2,0)</f>
        <v>Petugas Keamanan</v>
      </c>
      <c r="P60" s="340" t="s">
        <v>171</v>
      </c>
      <c r="Q60" s="376">
        <v>28</v>
      </c>
      <c r="R60" s="369">
        <v>28</v>
      </c>
      <c r="S60" s="369"/>
      <c r="T60" s="434"/>
      <c r="U60" s="279"/>
      <c r="V60" s="256"/>
      <c r="W60" s="268"/>
      <c r="X60" s="256"/>
      <c r="Y60" s="261"/>
      <c r="Z60" s="261">
        <v>12</v>
      </c>
      <c r="AA60" s="261">
        <v>6</v>
      </c>
      <c r="AB60" s="261"/>
      <c r="AC60" s="261"/>
      <c r="AD60" s="261"/>
      <c r="AE60" s="261"/>
      <c r="AF60" s="261">
        <v>15</v>
      </c>
      <c r="AG60" s="277"/>
      <c r="AH60" s="189"/>
      <c r="AI60" s="189"/>
      <c r="AJ60" s="261"/>
      <c r="AK60" s="191">
        <f>VLOOKUP(N60,Gapok!$B$5:$I$94,2,0)</f>
        <v>800000</v>
      </c>
      <c r="AL60" s="191">
        <f>VLOOKUP(P60,'TJ. FUNGSIONAL'!$B$4:$F$34,3,0)</f>
        <v>1200000</v>
      </c>
      <c r="AM60" s="191">
        <f>IF(R60+S60&gt;=Q60,(VLOOKUP(N60,Gapok!$B$5:$I$94,5,0)),((VLOOKUP('PER UNIT'!N60,Gapok!$B$5:$I$94,4,0)*('PER UNIT'!R60+'PER UNIT'!S60))))</f>
        <v>375000</v>
      </c>
      <c r="AN60" s="191">
        <f>VLOOKUP(P60,'TJ. FUNGSIONAL'!$B$4:$E$34,4,0)</f>
        <v>300000</v>
      </c>
      <c r="AO60" s="192">
        <f t="shared" si="16"/>
        <v>100000</v>
      </c>
      <c r="AP60" s="193">
        <v>35000</v>
      </c>
      <c r="AQ60" s="194">
        <f t="shared" si="26"/>
        <v>0</v>
      </c>
      <c r="AR60" s="195">
        <f t="shared" si="39"/>
        <v>660000</v>
      </c>
      <c r="AS60" s="195">
        <f t="shared" si="38"/>
        <v>375000</v>
      </c>
      <c r="AT60" s="196"/>
      <c r="AU60" s="96"/>
      <c r="AV60" s="96"/>
      <c r="AW60" s="96"/>
      <c r="AX60" s="96">
        <f t="shared" ref="AX60" si="42">20000*AG60</f>
        <v>0</v>
      </c>
      <c r="AY60" s="96"/>
      <c r="AZ60" s="96"/>
      <c r="BA60" s="96"/>
      <c r="BB60" s="96"/>
      <c r="BC60" s="96"/>
      <c r="BD60" s="197">
        <f t="shared" si="24"/>
        <v>3845000</v>
      </c>
      <c r="BE60" s="198">
        <f t="shared" si="18"/>
        <v>0</v>
      </c>
      <c r="BF60" s="195">
        <f t="shared" si="40"/>
        <v>0</v>
      </c>
      <c r="BG60" s="195">
        <f t="shared" si="41"/>
        <v>0</v>
      </c>
      <c r="BH60" s="195">
        <v>0</v>
      </c>
      <c r="BI60" s="238">
        <v>350000</v>
      </c>
      <c r="BJ60" s="195"/>
      <c r="BK60" s="107"/>
      <c r="BL60" s="107">
        <f t="shared" si="36"/>
        <v>0</v>
      </c>
      <c r="BM60" s="107"/>
      <c r="BN60" s="107"/>
      <c r="BO60" s="311"/>
      <c r="BP60" s="309">
        <f t="shared" si="37"/>
        <v>350000</v>
      </c>
      <c r="BQ60" s="199">
        <f>28*25000</f>
        <v>700000</v>
      </c>
      <c r="BR60" s="275" t="s">
        <v>964</v>
      </c>
      <c r="BS60" s="200">
        <f t="shared" si="22"/>
        <v>4195000</v>
      </c>
      <c r="BT60" s="201">
        <v>7241692517</v>
      </c>
    </row>
    <row r="61" spans="1:72" x14ac:dyDescent="0.45">
      <c r="A61" s="182">
        <v>55</v>
      </c>
      <c r="B61" s="252" t="s">
        <v>380</v>
      </c>
      <c r="C61" s="240" t="s">
        <v>1055</v>
      </c>
      <c r="D61" s="233" t="s">
        <v>866</v>
      </c>
      <c r="E61" s="237" t="s">
        <v>130</v>
      </c>
      <c r="F61" s="185" t="s">
        <v>867</v>
      </c>
      <c r="G61" s="278" t="s">
        <v>727</v>
      </c>
      <c r="H61" s="186" t="s">
        <v>868</v>
      </c>
      <c r="I61" s="340">
        <v>1</v>
      </c>
      <c r="J61" s="145" t="s">
        <v>163</v>
      </c>
      <c r="K61" s="145" t="s">
        <v>73</v>
      </c>
      <c r="L61" s="145" t="s">
        <v>84</v>
      </c>
      <c r="M61" s="145" t="s">
        <v>359</v>
      </c>
      <c r="N61" s="188" t="s">
        <v>143</v>
      </c>
      <c r="O61" s="340" t="s">
        <v>711</v>
      </c>
      <c r="P61" s="340" t="s">
        <v>712</v>
      </c>
      <c r="Q61" s="376">
        <v>18</v>
      </c>
      <c r="R61" s="369">
        <v>18</v>
      </c>
      <c r="S61" s="369"/>
      <c r="T61" s="434"/>
      <c r="U61" s="369"/>
      <c r="V61" s="369"/>
      <c r="W61" s="446"/>
      <c r="X61" s="369"/>
      <c r="Y61" s="369"/>
      <c r="Z61" s="369"/>
      <c r="AA61" s="369">
        <v>1</v>
      </c>
      <c r="AB61" s="261"/>
      <c r="AC61" s="268"/>
      <c r="AD61" s="261"/>
      <c r="AE61" s="261"/>
      <c r="AF61" s="261"/>
      <c r="AG61" s="277">
        <v>21</v>
      </c>
      <c r="AH61" s="189"/>
      <c r="AI61" s="189"/>
      <c r="AJ61" s="261"/>
      <c r="AK61" s="191">
        <f>VLOOKUP(N61,Gapok!$B$5:$I$94,2,0)</f>
        <v>1020000</v>
      </c>
      <c r="AL61" s="191">
        <f>VLOOKUP(P61,'TJ. FUNGSIONAL'!$B$4:$F$34,3,0)</f>
        <v>1150000</v>
      </c>
      <c r="AM61" s="191">
        <f>IF(R61+S61&gt;=Q61,(VLOOKUP(N61,Gapok!$B$5:$I$94,5,0)),((VLOOKUP('PER UNIT'!N61,Gapok!$B$5:$I$94,4,0)*('PER UNIT'!R61+'PER UNIT'!S61))))</f>
        <v>375000</v>
      </c>
      <c r="AN61" s="191">
        <f>VLOOKUP(P61,'TJ. FUNGSIONAL'!$B$4:$E$34,4,0)</f>
        <v>0</v>
      </c>
      <c r="AO61" s="192">
        <f t="shared" si="16"/>
        <v>50000</v>
      </c>
      <c r="AP61" s="193">
        <v>35000</v>
      </c>
      <c r="AQ61" s="194">
        <f t="shared" si="26"/>
        <v>0</v>
      </c>
      <c r="AR61" s="195">
        <f t="shared" si="39"/>
        <v>50000</v>
      </c>
      <c r="AS61" s="195">
        <f t="shared" si="38"/>
        <v>0</v>
      </c>
      <c r="AT61" s="196"/>
      <c r="AU61" s="96"/>
      <c r="AV61" s="96"/>
      <c r="AW61" s="96"/>
      <c r="AX61" s="96">
        <f>30000*AG61</f>
        <v>630000</v>
      </c>
      <c r="AY61" s="96" t="s">
        <v>861</v>
      </c>
      <c r="AZ61" s="96"/>
      <c r="BA61" s="96"/>
      <c r="BB61" s="96"/>
      <c r="BC61" s="96"/>
      <c r="BD61" s="197">
        <f t="shared" si="24"/>
        <v>3310000</v>
      </c>
      <c r="BE61" s="198">
        <f t="shared" si="18"/>
        <v>0</v>
      </c>
      <c r="BF61" s="195">
        <f t="shared" si="40"/>
        <v>0</v>
      </c>
      <c r="BG61" s="195">
        <f t="shared" si="41"/>
        <v>0</v>
      </c>
      <c r="BH61" s="195">
        <v>0</v>
      </c>
      <c r="BI61" s="195">
        <v>0</v>
      </c>
      <c r="BJ61" s="195"/>
      <c r="BK61" s="107"/>
      <c r="BL61" s="107">
        <f t="shared" si="36"/>
        <v>0</v>
      </c>
      <c r="BM61" s="107"/>
      <c r="BN61" s="107"/>
      <c r="BO61" s="311"/>
      <c r="BP61" s="309">
        <f t="shared" si="37"/>
        <v>0</v>
      </c>
      <c r="BQ61" s="199"/>
      <c r="BR61" s="196"/>
      <c r="BS61" s="200">
        <f t="shared" si="22"/>
        <v>3310000</v>
      </c>
      <c r="BT61" s="201">
        <v>7275572211</v>
      </c>
    </row>
    <row r="62" spans="1:72" x14ac:dyDescent="0.45">
      <c r="A62" s="182">
        <v>56</v>
      </c>
      <c r="B62" s="252" t="s">
        <v>385</v>
      </c>
      <c r="C62" s="240" t="s">
        <v>1056</v>
      </c>
      <c r="D62" s="233" t="s">
        <v>889</v>
      </c>
      <c r="E62" s="237" t="s">
        <v>130</v>
      </c>
      <c r="F62" s="185" t="s">
        <v>895</v>
      </c>
      <c r="G62" s="278" t="s">
        <v>727</v>
      </c>
      <c r="H62" s="231" t="s">
        <v>942</v>
      </c>
      <c r="I62" s="340">
        <v>0</v>
      </c>
      <c r="J62" s="145" t="s">
        <v>163</v>
      </c>
      <c r="K62" s="145" t="s">
        <v>73</v>
      </c>
      <c r="L62" s="145" t="s">
        <v>84</v>
      </c>
      <c r="M62" s="145" t="s">
        <v>359</v>
      </c>
      <c r="N62" s="188" t="s">
        <v>143</v>
      </c>
      <c r="O62" s="340" t="s">
        <v>453</v>
      </c>
      <c r="P62" s="340" t="s">
        <v>707</v>
      </c>
      <c r="Q62" s="376">
        <v>18</v>
      </c>
      <c r="R62" s="369">
        <v>18</v>
      </c>
      <c r="S62" s="369"/>
      <c r="T62" s="434"/>
      <c r="U62" s="369"/>
      <c r="V62" s="369"/>
      <c r="W62" s="446"/>
      <c r="X62" s="369"/>
      <c r="Y62" s="369"/>
      <c r="Z62" s="369"/>
      <c r="AA62" s="369">
        <v>1</v>
      </c>
      <c r="AB62" s="261"/>
      <c r="AC62" s="261"/>
      <c r="AD62" s="261"/>
      <c r="AE62" s="261"/>
      <c r="AF62" s="261"/>
      <c r="AG62" s="277">
        <v>21</v>
      </c>
      <c r="AH62" s="189"/>
      <c r="AI62" s="189">
        <v>3</v>
      </c>
      <c r="AJ62" s="189"/>
      <c r="AK62" s="191">
        <f>VLOOKUP(N62,Gapok!$B$5:$I$94,2,0)</f>
        <v>1020000</v>
      </c>
      <c r="AL62" s="191">
        <f>VLOOKUP(P62,'TJ. FUNGSIONAL'!$B$4:$F$34,3,0)</f>
        <v>1150000</v>
      </c>
      <c r="AM62" s="191">
        <f>IF(R62+S62&gt;=Q62,(VLOOKUP(N62,Gapok!$B$5:$I$94,5,0)),((VLOOKUP('PER UNIT'!N62,Gapok!$B$5:$I$94,4,0)*('PER UNIT'!R62+'PER UNIT'!S62))))</f>
        <v>375000</v>
      </c>
      <c r="AN62" s="191">
        <f>VLOOKUP(P62,'TJ. FUNGSIONAL'!$B$4:$E$34,4,0)</f>
        <v>0</v>
      </c>
      <c r="AO62" s="192">
        <f t="shared" si="16"/>
        <v>0</v>
      </c>
      <c r="AP62" s="193">
        <v>35000</v>
      </c>
      <c r="AQ62" s="194">
        <f t="shared" si="26"/>
        <v>150000</v>
      </c>
      <c r="AR62" s="195">
        <f t="shared" si="39"/>
        <v>50000</v>
      </c>
      <c r="AS62" s="195">
        <f t="shared" si="38"/>
        <v>0</v>
      </c>
      <c r="AT62" s="196"/>
      <c r="AU62" s="96"/>
      <c r="AV62" s="96"/>
      <c r="AW62" s="96"/>
      <c r="AX62" s="96">
        <f t="shared" ref="AX62:AX66" si="43">30000*AG62</f>
        <v>630000</v>
      </c>
      <c r="AY62" s="96" t="s">
        <v>861</v>
      </c>
      <c r="AZ62" s="96"/>
      <c r="BA62" s="96"/>
      <c r="BB62" s="96"/>
      <c r="BC62" s="96"/>
      <c r="BD62" s="197">
        <f t="shared" si="24"/>
        <v>3410000</v>
      </c>
      <c r="BE62" s="198">
        <f t="shared" si="18"/>
        <v>0</v>
      </c>
      <c r="BF62" s="195">
        <f t="shared" si="40"/>
        <v>0</v>
      </c>
      <c r="BG62" s="195">
        <f t="shared" si="41"/>
        <v>0</v>
      </c>
      <c r="BH62" s="195">
        <v>0</v>
      </c>
      <c r="BI62" s="195">
        <v>0</v>
      </c>
      <c r="BJ62" s="195"/>
      <c r="BK62" s="107"/>
      <c r="BL62" s="107">
        <f t="shared" si="36"/>
        <v>0</v>
      </c>
      <c r="BM62" s="107"/>
      <c r="BN62" s="107"/>
      <c r="BO62" s="311"/>
      <c r="BP62" s="309">
        <f t="shared" si="37"/>
        <v>0</v>
      </c>
      <c r="BQ62" s="199"/>
      <c r="BR62" s="196"/>
      <c r="BS62" s="200">
        <f t="shared" si="22"/>
        <v>3410000</v>
      </c>
      <c r="BT62" s="201">
        <v>7153743937</v>
      </c>
    </row>
    <row r="63" spans="1:72" x14ac:dyDescent="0.45">
      <c r="A63" s="182">
        <v>57</v>
      </c>
      <c r="B63" s="252" t="s">
        <v>391</v>
      </c>
      <c r="C63" s="240" t="s">
        <v>1057</v>
      </c>
      <c r="D63" s="233" t="s">
        <v>890</v>
      </c>
      <c r="E63" s="237" t="s">
        <v>130</v>
      </c>
      <c r="F63" s="185" t="s">
        <v>894</v>
      </c>
      <c r="G63" s="278" t="s">
        <v>727</v>
      </c>
      <c r="H63" s="231" t="s">
        <v>893</v>
      </c>
      <c r="I63" s="340">
        <v>0</v>
      </c>
      <c r="J63" s="145" t="s">
        <v>163</v>
      </c>
      <c r="K63" s="145" t="s">
        <v>176</v>
      </c>
      <c r="L63" s="145" t="s">
        <v>84</v>
      </c>
      <c r="M63" s="145" t="s">
        <v>359</v>
      </c>
      <c r="N63" s="188" t="s">
        <v>583</v>
      </c>
      <c r="O63" s="340" t="s">
        <v>711</v>
      </c>
      <c r="P63" s="340" t="s">
        <v>712</v>
      </c>
      <c r="Q63" s="376">
        <v>18</v>
      </c>
      <c r="R63" s="369">
        <v>12</v>
      </c>
      <c r="S63" s="369">
        <v>6</v>
      </c>
      <c r="T63" s="434"/>
      <c r="U63" s="369"/>
      <c r="V63" s="369"/>
      <c r="W63" s="446">
        <v>1</v>
      </c>
      <c r="X63" s="369"/>
      <c r="Y63" s="369"/>
      <c r="Z63" s="369"/>
      <c r="AA63" s="369">
        <v>1</v>
      </c>
      <c r="AB63" s="261"/>
      <c r="AC63" s="261"/>
      <c r="AD63" s="261"/>
      <c r="AE63" s="261"/>
      <c r="AF63" s="261"/>
      <c r="AG63" s="259"/>
      <c r="AH63" s="189"/>
      <c r="AI63" s="189"/>
      <c r="AJ63" s="189"/>
      <c r="AK63" s="191">
        <f>VLOOKUP(N63,Gapok!$B$5:$I$94,2,0)</f>
        <v>1200000</v>
      </c>
      <c r="AL63" s="191">
        <f>VLOOKUP(P63,'TJ. FUNGSIONAL'!$B$4:$F$34,3,0)</f>
        <v>1150000</v>
      </c>
      <c r="AM63" s="191">
        <f>IF(R63+S63&gt;=Q63,(VLOOKUP(N63,Gapok!$B$5:$I$94,5,0)),((VLOOKUP('PER UNIT'!N63,Gapok!$B$5:$I$94,4,0)*('PER UNIT'!R63+'PER UNIT'!S63))))</f>
        <v>375000</v>
      </c>
      <c r="AN63" s="191">
        <v>300000</v>
      </c>
      <c r="AO63" s="192">
        <f t="shared" si="16"/>
        <v>0</v>
      </c>
      <c r="AP63" s="193">
        <v>35000</v>
      </c>
      <c r="AQ63" s="194">
        <f t="shared" si="26"/>
        <v>25000</v>
      </c>
      <c r="AR63" s="195">
        <f t="shared" si="39"/>
        <v>50000</v>
      </c>
      <c r="AS63" s="195">
        <f t="shared" si="38"/>
        <v>0</v>
      </c>
      <c r="AT63" s="196"/>
      <c r="AU63" s="96"/>
      <c r="AV63" s="96"/>
      <c r="AW63" s="96"/>
      <c r="AX63" s="96">
        <f t="shared" si="43"/>
        <v>0</v>
      </c>
      <c r="AY63" s="96"/>
      <c r="AZ63" s="96"/>
      <c r="BA63" s="96"/>
      <c r="BB63" s="96"/>
      <c r="BC63" s="96"/>
      <c r="BD63" s="197">
        <f t="shared" si="24"/>
        <v>3135000</v>
      </c>
      <c r="BE63" s="198">
        <f t="shared" si="18"/>
        <v>0</v>
      </c>
      <c r="BF63" s="195">
        <f t="shared" si="40"/>
        <v>45000</v>
      </c>
      <c r="BG63" s="195">
        <f t="shared" si="41"/>
        <v>0</v>
      </c>
      <c r="BH63" s="195">
        <v>0</v>
      </c>
      <c r="BI63" s="195">
        <v>0</v>
      </c>
      <c r="BJ63" s="195"/>
      <c r="BK63" s="107"/>
      <c r="BL63" s="107">
        <f t="shared" si="36"/>
        <v>0</v>
      </c>
      <c r="BM63" s="107"/>
      <c r="BN63" s="107"/>
      <c r="BO63" s="311"/>
      <c r="BP63" s="309">
        <f t="shared" si="37"/>
        <v>45000</v>
      </c>
      <c r="BQ63" s="199"/>
      <c r="BR63" s="196"/>
      <c r="BS63" s="200">
        <f t="shared" si="22"/>
        <v>3090000</v>
      </c>
      <c r="BT63" s="201">
        <v>7007894354</v>
      </c>
    </row>
    <row r="64" spans="1:72" x14ac:dyDescent="0.45">
      <c r="A64" s="182">
        <v>58</v>
      </c>
      <c r="B64" s="252" t="s">
        <v>395</v>
      </c>
      <c r="C64" s="240" t="s">
        <v>1058</v>
      </c>
      <c r="D64" s="233" t="s">
        <v>891</v>
      </c>
      <c r="E64" s="237" t="s">
        <v>130</v>
      </c>
      <c r="F64" s="185" t="s">
        <v>892</v>
      </c>
      <c r="G64" s="278" t="s">
        <v>727</v>
      </c>
      <c r="H64" s="231" t="s">
        <v>893</v>
      </c>
      <c r="I64" s="340">
        <v>0</v>
      </c>
      <c r="J64" s="145" t="s">
        <v>163</v>
      </c>
      <c r="K64" s="145" t="s">
        <v>176</v>
      </c>
      <c r="L64" s="145" t="s">
        <v>84</v>
      </c>
      <c r="M64" s="145" t="s">
        <v>359</v>
      </c>
      <c r="N64" s="188" t="s">
        <v>143</v>
      </c>
      <c r="O64" s="340" t="s">
        <v>453</v>
      </c>
      <c r="P64" s="340" t="s">
        <v>707</v>
      </c>
      <c r="Q64" s="376">
        <v>18</v>
      </c>
      <c r="R64" s="369">
        <v>12</v>
      </c>
      <c r="S64" s="369">
        <v>6</v>
      </c>
      <c r="T64" s="434"/>
      <c r="U64" s="369"/>
      <c r="V64" s="369"/>
      <c r="W64" s="446">
        <v>1</v>
      </c>
      <c r="X64" s="369"/>
      <c r="Y64" s="369"/>
      <c r="Z64" s="369"/>
      <c r="AA64" s="369">
        <v>2</v>
      </c>
      <c r="AB64" s="261"/>
      <c r="AC64" s="261"/>
      <c r="AD64" s="261"/>
      <c r="AE64" s="261"/>
      <c r="AF64" s="261"/>
      <c r="AG64" s="259"/>
      <c r="AH64" s="189"/>
      <c r="AI64" s="189"/>
      <c r="AJ64" s="189"/>
      <c r="AK64" s="191">
        <f>VLOOKUP(N64,Gapok!$B$5:$I$94,2,0)</f>
        <v>1020000</v>
      </c>
      <c r="AL64" s="191">
        <v>900000</v>
      </c>
      <c r="AM64" s="191">
        <f>IF(R64+S64&gt;=Q64,(VLOOKUP(N64,Gapok!$B$5:$I$94,5,0)),((VLOOKUP('PER UNIT'!N64,Gapok!$B$5:$I$94,4,0)*('PER UNIT'!R64+'PER UNIT'!S64))))</f>
        <v>375000</v>
      </c>
      <c r="AN64" s="191">
        <v>300000</v>
      </c>
      <c r="AO64" s="192">
        <f t="shared" si="16"/>
        <v>0</v>
      </c>
      <c r="AP64" s="193">
        <v>35000</v>
      </c>
      <c r="AQ64" s="194">
        <f t="shared" si="26"/>
        <v>25000</v>
      </c>
      <c r="AR64" s="195">
        <f t="shared" si="39"/>
        <v>100000</v>
      </c>
      <c r="AS64" s="195">
        <f t="shared" si="38"/>
        <v>0</v>
      </c>
      <c r="AT64" s="196"/>
      <c r="AU64" s="96"/>
      <c r="AV64" s="96"/>
      <c r="AW64" s="96"/>
      <c r="AX64" s="96">
        <f t="shared" si="43"/>
        <v>0</v>
      </c>
      <c r="AY64" s="96"/>
      <c r="AZ64" s="96"/>
      <c r="BA64" s="96"/>
      <c r="BB64" s="96"/>
      <c r="BC64" s="96"/>
      <c r="BD64" s="197">
        <f t="shared" si="24"/>
        <v>2755000</v>
      </c>
      <c r="BE64" s="198">
        <f t="shared" ref="BE64:BE66" si="44">T64*25000+U64*40000+V64*60000</f>
        <v>0</v>
      </c>
      <c r="BF64" s="195">
        <f t="shared" si="40"/>
        <v>45000</v>
      </c>
      <c r="BG64" s="195">
        <f t="shared" si="41"/>
        <v>0</v>
      </c>
      <c r="BH64" s="195">
        <v>0</v>
      </c>
      <c r="BI64" s="195">
        <v>0</v>
      </c>
      <c r="BJ64" s="195"/>
      <c r="BK64" s="107"/>
      <c r="BL64" s="107">
        <f t="shared" si="36"/>
        <v>0</v>
      </c>
      <c r="BM64" s="107"/>
      <c r="BN64" s="107"/>
      <c r="BO64" s="311"/>
      <c r="BP64" s="309">
        <f t="shared" si="37"/>
        <v>45000</v>
      </c>
      <c r="BQ64" s="199"/>
      <c r="BR64" s="196"/>
      <c r="BS64" s="200">
        <f t="shared" si="22"/>
        <v>2710000</v>
      </c>
      <c r="BT64" s="201">
        <v>7144715308</v>
      </c>
    </row>
    <row r="65" spans="1:72" x14ac:dyDescent="0.45">
      <c r="A65" s="182">
        <v>59</v>
      </c>
      <c r="B65" s="252" t="s">
        <v>399</v>
      </c>
      <c r="C65" s="240" t="s">
        <v>1059</v>
      </c>
      <c r="D65" s="233" t="s">
        <v>970</v>
      </c>
      <c r="E65" s="237" t="s">
        <v>130</v>
      </c>
      <c r="F65" s="185" t="s">
        <v>971</v>
      </c>
      <c r="G65" s="278" t="s">
        <v>727</v>
      </c>
      <c r="H65" s="346" t="s">
        <v>975</v>
      </c>
      <c r="I65" s="366">
        <v>0</v>
      </c>
      <c r="J65" s="145" t="s">
        <v>163</v>
      </c>
      <c r="K65" s="145" t="s">
        <v>73</v>
      </c>
      <c r="L65" s="145" t="s">
        <v>74</v>
      </c>
      <c r="M65" s="145" t="s">
        <v>317</v>
      </c>
      <c r="N65" s="188" t="s">
        <v>210</v>
      </c>
      <c r="O65" s="340" t="s">
        <v>453</v>
      </c>
      <c r="P65" s="340" t="s">
        <v>707</v>
      </c>
      <c r="Q65" s="376">
        <v>18</v>
      </c>
      <c r="R65" s="369">
        <v>18</v>
      </c>
      <c r="S65" s="369"/>
      <c r="T65" s="434"/>
      <c r="U65" s="369"/>
      <c r="V65" s="369"/>
      <c r="W65" s="446">
        <v>1</v>
      </c>
      <c r="X65" s="256"/>
      <c r="Y65" s="261"/>
      <c r="Z65" s="261"/>
      <c r="AA65" s="261">
        <v>1</v>
      </c>
      <c r="AB65" s="261"/>
      <c r="AC65" s="261"/>
      <c r="AD65" s="261"/>
      <c r="AE65" s="261"/>
      <c r="AF65" s="261"/>
      <c r="AG65" s="277">
        <v>21</v>
      </c>
      <c r="AH65" s="189"/>
      <c r="AI65" s="189"/>
      <c r="AJ65" s="189"/>
      <c r="AK65" s="191">
        <f>VLOOKUP(N65,Gapok!$B$5:$I$94,2,0)</f>
        <v>800000</v>
      </c>
      <c r="AL65" s="191">
        <f>VLOOKUP(P65,'TJ. FUNGSIONAL'!$B$4:$F$34,3,0)</f>
        <v>1150000</v>
      </c>
      <c r="AM65" s="191">
        <f>IF(R65+S65&gt;=Q65,(VLOOKUP(N65,Gapok!$B$5:$I$94,5,0)),((VLOOKUP('PER UNIT'!N65,Gapok!$B$5:$I$94,4,0)*('PER UNIT'!R65+'PER UNIT'!S65))))</f>
        <v>375000</v>
      </c>
      <c r="AN65" s="191">
        <f>VLOOKUP(P65,'TJ. FUNGSIONAL'!$B$4:$E$34,4,0)</f>
        <v>0</v>
      </c>
      <c r="AO65" s="192">
        <f t="shared" si="16"/>
        <v>0</v>
      </c>
      <c r="AP65" s="193">
        <v>35000</v>
      </c>
      <c r="AQ65" s="194">
        <f t="shared" si="26"/>
        <v>25000</v>
      </c>
      <c r="AR65" s="195">
        <f t="shared" si="39"/>
        <v>50000</v>
      </c>
      <c r="AS65" s="195">
        <f t="shared" si="38"/>
        <v>0</v>
      </c>
      <c r="AT65" s="196"/>
      <c r="AU65" s="96"/>
      <c r="AV65" s="96"/>
      <c r="AW65" s="96"/>
      <c r="AX65" s="96">
        <f t="shared" si="43"/>
        <v>630000</v>
      </c>
      <c r="AY65" s="96" t="s">
        <v>861</v>
      </c>
      <c r="AZ65" s="96"/>
      <c r="BA65" s="96"/>
      <c r="BB65" s="96"/>
      <c r="BC65" s="96"/>
      <c r="BD65" s="197">
        <f t="shared" si="24"/>
        <v>3065000</v>
      </c>
      <c r="BE65" s="198">
        <f t="shared" si="44"/>
        <v>0</v>
      </c>
      <c r="BF65" s="195">
        <f t="shared" si="40"/>
        <v>0</v>
      </c>
      <c r="BG65" s="195">
        <f t="shared" si="41"/>
        <v>0</v>
      </c>
      <c r="BH65" s="195">
        <v>0</v>
      </c>
      <c r="BI65" s="195">
        <v>0</v>
      </c>
      <c r="BJ65" s="195"/>
      <c r="BK65" s="107"/>
      <c r="BL65" s="107">
        <f t="shared" si="36"/>
        <v>0</v>
      </c>
      <c r="BM65" s="107"/>
      <c r="BN65" s="107"/>
      <c r="BO65" s="339"/>
      <c r="BP65" s="309">
        <f t="shared" si="37"/>
        <v>0</v>
      </c>
      <c r="BQ65" s="199"/>
      <c r="BR65" s="196"/>
      <c r="BS65" s="200">
        <f t="shared" si="22"/>
        <v>3065000</v>
      </c>
      <c r="BT65" s="201">
        <v>7328758142</v>
      </c>
    </row>
    <row r="66" spans="1:72" x14ac:dyDescent="0.45">
      <c r="A66" s="182">
        <v>60</v>
      </c>
      <c r="B66" s="252" t="s">
        <v>405</v>
      </c>
      <c r="C66" s="240" t="s">
        <v>1060</v>
      </c>
      <c r="D66" s="233" t="s">
        <v>972</v>
      </c>
      <c r="E66" s="237" t="s">
        <v>130</v>
      </c>
      <c r="F66" s="185" t="s">
        <v>973</v>
      </c>
      <c r="G66" s="278" t="s">
        <v>727</v>
      </c>
      <c r="H66" s="346" t="s">
        <v>975</v>
      </c>
      <c r="I66" s="366">
        <v>0</v>
      </c>
      <c r="J66" s="145" t="s">
        <v>163</v>
      </c>
      <c r="K66" s="145" t="s">
        <v>73</v>
      </c>
      <c r="L66" s="145" t="s">
        <v>84</v>
      </c>
      <c r="M66" s="145" t="s">
        <v>359</v>
      </c>
      <c r="N66" s="188" t="s">
        <v>143</v>
      </c>
      <c r="O66" s="340" t="s">
        <v>453</v>
      </c>
      <c r="P66" s="340" t="s">
        <v>707</v>
      </c>
      <c r="Q66" s="376">
        <v>18</v>
      </c>
      <c r="R66" s="369">
        <v>18</v>
      </c>
      <c r="S66" s="369"/>
      <c r="T66" s="434"/>
      <c r="U66" s="369"/>
      <c r="V66" s="369"/>
      <c r="W66" s="446">
        <v>1</v>
      </c>
      <c r="X66" s="256"/>
      <c r="Y66" s="261"/>
      <c r="Z66" s="261"/>
      <c r="AA66" s="261">
        <v>1</v>
      </c>
      <c r="AB66" s="261"/>
      <c r="AC66" s="261"/>
      <c r="AD66" s="261"/>
      <c r="AE66" s="261"/>
      <c r="AF66" s="261"/>
      <c r="AG66" s="277">
        <v>21</v>
      </c>
      <c r="AH66" s="189"/>
      <c r="AI66" s="189"/>
      <c r="AJ66" s="189"/>
      <c r="AK66" s="191">
        <f>VLOOKUP(N66,Gapok!$B$5:$I$94,2,0)</f>
        <v>1020000</v>
      </c>
      <c r="AL66" s="191">
        <f>VLOOKUP(P66,'TJ. FUNGSIONAL'!$B$4:$F$34,3,0)</f>
        <v>1150000</v>
      </c>
      <c r="AM66" s="191">
        <f>IF(R66+S66&gt;=Q66,(VLOOKUP(N66,Gapok!$B$5:$I$94,5,0)),((VLOOKUP('PER UNIT'!N66,Gapok!$B$5:$I$94,4,0)*('PER UNIT'!R66+'PER UNIT'!S66))))</f>
        <v>375000</v>
      </c>
      <c r="AN66" s="191">
        <f>VLOOKUP(P66,'TJ. FUNGSIONAL'!$B$4:$E$34,4,0)</f>
        <v>0</v>
      </c>
      <c r="AO66" s="192">
        <f t="shared" si="16"/>
        <v>0</v>
      </c>
      <c r="AP66" s="193">
        <v>35000</v>
      </c>
      <c r="AQ66" s="194">
        <f t="shared" si="26"/>
        <v>25000</v>
      </c>
      <c r="AR66" s="195">
        <f t="shared" si="39"/>
        <v>50000</v>
      </c>
      <c r="AS66" s="195">
        <f t="shared" si="38"/>
        <v>0</v>
      </c>
      <c r="AT66" s="196"/>
      <c r="AU66" s="96"/>
      <c r="AV66" s="96"/>
      <c r="AW66" s="96"/>
      <c r="AX66" s="96">
        <f t="shared" si="43"/>
        <v>630000</v>
      </c>
      <c r="AY66" s="96" t="s">
        <v>861</v>
      </c>
      <c r="AZ66" s="96"/>
      <c r="BA66" s="96"/>
      <c r="BB66" s="96"/>
      <c r="BC66" s="96"/>
      <c r="BD66" s="197">
        <f t="shared" si="24"/>
        <v>3285000</v>
      </c>
      <c r="BE66" s="198">
        <f t="shared" si="44"/>
        <v>0</v>
      </c>
      <c r="BF66" s="195">
        <f t="shared" si="40"/>
        <v>0</v>
      </c>
      <c r="BG66" s="195">
        <f t="shared" si="41"/>
        <v>0</v>
      </c>
      <c r="BH66" s="195">
        <v>0</v>
      </c>
      <c r="BI66" s="195">
        <v>0</v>
      </c>
      <c r="BJ66" s="195"/>
      <c r="BK66" s="107"/>
      <c r="BL66" s="107">
        <f t="shared" si="36"/>
        <v>0</v>
      </c>
      <c r="BM66" s="107"/>
      <c r="BN66" s="107"/>
      <c r="BO66" s="339"/>
      <c r="BP66" s="309">
        <f t="shared" si="37"/>
        <v>0</v>
      </c>
      <c r="BQ66" s="199"/>
      <c r="BR66" s="196"/>
      <c r="BS66" s="200">
        <f t="shared" si="22"/>
        <v>3285000</v>
      </c>
      <c r="BT66" s="201">
        <v>7129294447</v>
      </c>
    </row>
    <row r="68" spans="1:72" x14ac:dyDescent="0.45">
      <c r="BS68" s="166">
        <f>SUM(BS7:BS66)</f>
        <v>211596500</v>
      </c>
    </row>
    <row r="69" spans="1:72" x14ac:dyDescent="0.45">
      <c r="BN69" s="479"/>
    </row>
  </sheetData>
  <autoFilter ref="A6:AMC66" xr:uid="{00000000-0001-0000-0600-000000000000}"/>
  <mergeCells count="2">
    <mergeCell ref="A4:A5"/>
    <mergeCell ref="B1:AJ2"/>
  </mergeCells>
  <phoneticPr fontId="51" type="noConversion"/>
  <pageMargins left="0.25" right="0" top="0.25" bottom="0.25" header="0.51180555555555496" footer="0.51180555555555496"/>
  <pageSetup paperSize="9" scale="9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ABSENSI PER TMT</vt:lpstr>
      <vt:lpstr>Gapok</vt:lpstr>
      <vt:lpstr>SLIP GAJI</vt:lpstr>
      <vt:lpstr>TJ. FUNGSIONAL</vt:lpstr>
      <vt:lpstr>POTONGAN BPJS JHT</vt:lpstr>
      <vt:lpstr>PINJAMAN</vt:lpstr>
      <vt:lpstr>PER UNIT</vt:lpstr>
      <vt:lpstr>'ABSENSI PER TMT'!Print_Area</vt:lpstr>
      <vt:lpstr>'PER UNIT'!Print_Area</vt:lpstr>
      <vt:lpstr>'SLIP GAJI'!Print_Area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MODERN 14</dc:creator>
  <cp:lastModifiedBy>elvan sutiasa</cp:lastModifiedBy>
  <dcterms:created xsi:type="dcterms:W3CDTF">2021-09-09T03:35:00Z</dcterms:created>
  <dcterms:modified xsi:type="dcterms:W3CDTF">2026-06-20T08:19:35Z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caleCrop">
    <vt:bool>false</vt:bool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MSIP_Label_defa4170-0d19-0005-0004-bc88714345d2_ActionId">
    <vt:lpwstr>33271a67-64c4-4e5f-be35-c576d9f3360e</vt:lpwstr>
  </property>
  <property fmtid="{D5CDD505-2E9C-101B-9397-08002B2CF9AE}" pid="6" name="MSIP_Label_defa4170-0d19-0005-0004-bc88714345d2_ContentBits">
    <vt:lpwstr>0</vt:lpwstr>
  </property>
  <property fmtid="{D5CDD505-2E9C-101B-9397-08002B2CF9AE}" pid="7" name="MSIP_Label_defa4170-0d19-0005-0004-bc88714345d2_SetDate">
    <vt:lpwstr>2022-09-08T05:49:18Z</vt:lpwstr>
  </property>
  <property fmtid="{D5CDD505-2E9C-101B-9397-08002B2CF9AE}" pid="8" name="AppVersion">
    <vt:lpwstr>14.0300</vt:lpwstr>
  </property>
  <property fmtid="{D5CDD505-2E9C-101B-9397-08002B2CF9AE}" pid="9" name="MSIP_Label_defa4170-0d19-0005-0004-bc88714345d2_Enabled">
    <vt:lpwstr>true</vt:lpwstr>
  </property>
  <property fmtid="{D5CDD505-2E9C-101B-9397-08002B2CF9AE}" pid="10" name="LinksUpToDate">
    <vt:bool>false</vt:bool>
  </property>
  <property fmtid="{D5CDD505-2E9C-101B-9397-08002B2CF9AE}" pid="11" name="MSIP_Label_defa4170-0d19-0005-0004-bc88714345d2_SiteId">
    <vt:lpwstr>5233c8ec-55f7-4537-a17c-b0f39455ed9a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ShareDoc">
    <vt:bool>false</vt:bool>
  </property>
  <property fmtid="{D5CDD505-2E9C-101B-9397-08002B2CF9AE}" pid="14" name="ICV">
    <vt:lpwstr>6af0c73398b148578513c131c37c6e87</vt:lpwstr>
  </property>
  <property fmtid="{D5CDD505-2E9C-101B-9397-08002B2CF9AE}" pid="15" name="KSOProductBuildVer">
    <vt:lpwstr>1033-12.2.0.17153</vt:lpwstr>
  </property>
  <property fmtid="{D5CDD505-2E9C-101B-9397-08002B2CF9AE}" pid="16" name="MSIP_Label_defa4170-0d19-0005-0004-bc88714345d2_Method">
    <vt:lpwstr>Standard</vt:lpwstr>
  </property>
</Properties>
</file>