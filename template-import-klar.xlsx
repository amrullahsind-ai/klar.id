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9327a0177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e3643bf76f4db5"/>
    <x:sheet xmlns:r="http://schemas.openxmlformats.org/officeDocument/2006/relationships" name="Karyawan" sheetId="2" r:id="R5e50b33d0a5042be"/>
    <x:sheet xmlns:r="http://schemas.openxmlformats.org/officeDocument/2006/relationships" name="Jabatan" sheetId="3" r:id="Rb1660acc4b184267"/>
    <x:sheet xmlns:r="http://schemas.openxmlformats.org/officeDocument/2006/relationships" name="Golongan" sheetId="4" r:id="R0e73043fda7f4cc1"/>
    <x:sheet xmlns:r="http://schemas.openxmlformats.org/officeDocument/2006/relationships" name="Komponen" sheetId="5" r:id="R9b5e7bcd8ab24ecd"/>
    <x:sheet xmlns:r="http://schemas.openxmlformats.org/officeDocument/2006/relationships" name="Jadwal" sheetId="6" r:id="R037ba8c613a5471f"/>
    <x:sheet xmlns:r="http://schemas.openxmlformats.org/officeDocument/2006/relationships" name="Kalender Libur" sheetId="7" r:id="R98b4a417d2624be8"/>
    <x:sheet xmlns:r="http://schemas.openxmlformats.org/officeDocument/2006/relationships" name="Lembur" sheetId="8" r:id="Radcf9299dcbe447c"/>
    <x:sheet xmlns:r="http://schemas.openxmlformats.org/officeDocument/2006/relationships" name="Payroll Awal" sheetId="9" r:id="R32c14e20d6294a0a"/>
    <x:sheet xmlns:r="http://schemas.openxmlformats.org/officeDocument/2006/relationships" name="List" sheetId="10" r:id="R2425485379a7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52E"/>
      <x:name val="Carlito"/>
    </x:font>
    <x:font>
      <x:b/>
      <x:sz val="11"/>
      <x:color rgb="FFFFFFFF"/>
      <x:name val="Carlito"/>
    </x:font>
    <x:font>
      <x:b/>
      <x:sz val="11"/>
      <x:color rgb="FFFFFFFF"/>
      <x:name val="Inter"/>
    </x:font>
    <x:font>
      <x:sz val="11"/>
      <x:name val="Inter"/>
    </x:font>
    <x:font>
      <x:b/>
      <x:sz val="16"/>
      <x:color rgb="FFFFFFFF"/>
      <x:name val="Inter"/>
    </x:font>
    <x:font>
      <x:b/>
      <x:sz val="11"/>
      <x:color rgb="FF16352E"/>
      <x:name val="Inter"/>
    </x:font>
  </x:fonts>
  <x:fills count="3">
    <x:fill>
      <x:patternFill patternType="none"/>
    </x:fill>
    <x:fill>
      <x:patternFill patternType="gray125"/>
    </x:fill>
    <x:fill>
      <x:patternFill patternType="solid">
        <x:fgColor rgb="FF085842"/>
      </x:patternFill>
    </x:fill>
  </x:fills>
  <x:borders count="14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2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8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/>
    <x:xf numFmtId="0" fontId="5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/>
    <x:xf numFmtId="0" fontId="5" fillId="0" borderId="13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e3b807c294f08" /><Relationship Type="http://schemas.openxmlformats.org/officeDocument/2006/relationships/theme" Target="/xl/theme/theme1.xml" Id="Ra3a9d0bf503a4ba5" /><Relationship Type="http://schemas.openxmlformats.org/officeDocument/2006/relationships/sharedStrings" Target="/xl/sharedStrings.xml" Id="R91d23d35d1f3451a" /><Relationship Type="http://schemas.openxmlformats.org/officeDocument/2006/relationships/worksheet" Target="/xl/worksheets/sheet1.xml" Id="R52e3643bf76f4db5" /><Relationship Type="http://schemas.openxmlformats.org/officeDocument/2006/relationships/worksheet" Target="/xl/worksheets/sheet2.xml" Id="R5e50b33d0a5042be" /><Relationship Type="http://schemas.openxmlformats.org/officeDocument/2006/relationships/worksheet" Target="/xl/worksheets/sheet3.xml" Id="Rb1660acc4b184267" /><Relationship Type="http://schemas.openxmlformats.org/officeDocument/2006/relationships/worksheet" Target="/xl/worksheets/sheet4.xml" Id="R0e73043fda7f4cc1" /><Relationship Type="http://schemas.openxmlformats.org/officeDocument/2006/relationships/worksheet" Target="/xl/worksheets/sheet5.xml" Id="R9b5e7bcd8ab24ecd" /><Relationship Type="http://schemas.openxmlformats.org/officeDocument/2006/relationships/worksheet" Target="/xl/worksheets/sheet6.xml" Id="R037ba8c613a5471f" /><Relationship Type="http://schemas.openxmlformats.org/officeDocument/2006/relationships/worksheet" Target="/xl/worksheets/sheet7.xml" Id="R98b4a417d2624be8" /><Relationship Type="http://schemas.openxmlformats.org/officeDocument/2006/relationships/worksheet" Target="/xl/worksheets/sheet8.xml" Id="Radcf9299dcbe447c" /><Relationship Type="http://schemas.openxmlformats.org/officeDocument/2006/relationships/worksheet" Target="/xl/worksheets/sheet9.xml" Id="R32c14e20d6294a0a" /><Relationship Type="http://schemas.openxmlformats.org/officeDocument/2006/relationships/worksheet" Target="/xl/worksheets/sheet10.xml" Id="R2425485379a74278" /></Relationships>
</file>

<file path=xl/tables/table1.xml><?xml version="1.0" encoding="utf-8"?>
<x:table xmlns:x="http://schemas.openxmlformats.org/spreadsheetml/2006/main" id="1" name="KaryawanTable" displayName="KaryawanTable" ref="A1:L101" headerRowCount="1">
  <x:tableColumns count="12">
    <x:tableColumn id="1" name="Nama"/>
    <x:tableColumn id="2" name="NRK/NIP"/>
    <x:tableColumn id="3" name="Unit"/>
    <x:tableColumn id="4" name="Jabatan"/>
    <x:tableColumn id="5" name="Kode Jabatan"/>
    <x:tableColumn id="6" name="Grade Khusus"/>
    <x:tableColumn id="7" name="Tanggal Masuk"/>
    <x:tableColumn id="8" name="Masa Kerja"/>
    <x:tableColumn id="9" name="Status"/>
    <x:tableColumn id="10" name="No.Rek Bank"/>
    <x:tableColumn id="11" name="Login"/>
    <x:tableColumn id="12" name="PIN Awal"/>
  </x:tableColumns>
  <x:tableStyleInfo name="TableStyleMedium2" showRowStripes="1"/>
</x:table>
</file>

<file path=xl/tables/table2.xml><?xml version="1.0" encoding="utf-8"?>
<x:table xmlns:x="http://schemas.openxmlformats.org/spreadsheetml/2006/main" id="2" name="JabatanTable" displayName="JabatanTable" ref="A1:F101" headerRowCount="1">
  <x:tableColumns count="6">
    <x:tableColumn id="1" name="Unit"/>
    <x:tableColumn id="2" name="Kode"/>
    <x:tableColumn id="3" name="Jabatan"/>
    <x:tableColumn id="4" name="Tj Fungsional"/>
    <x:tableColumn id="5" name="Tj Rumah"/>
    <x:tableColumn id="6" name="Catatan"/>
  </x:tableColumns>
  <x:tableStyleInfo name="TableStyleMedium2" showRowStripes="1"/>
</x:table>
</file>

<file path=xl/tables/table3.xml><?xml version="1.0" encoding="utf-8"?>
<x:table xmlns:x="http://schemas.openxmlformats.org/spreadsheetml/2006/main" id="3" name="GolonganTable" displayName="GolonganTable" ref="A1:G101" headerRowCount="1">
  <x:tableColumns count="7">
    <x:tableColumn id="1" name="Pendidikan/Level"/>
    <x:tableColumn id="2" name="Grade"/>
    <x:tableColumn id="3" name="Gaji Pokok"/>
    <x:tableColumn id="4" name="Tj Hadir / Hari"/>
    <x:tableColumn id="5" name="Tj Hdr 1bulan"/>
    <x:tableColumn id="6" name="Minimal Tahun"/>
    <x:tableColumn id="7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KomponenTable" displayName="KomponenTable" ref="A1:H101" headerRowCount="1">
  <x:tableColumns count="8">
    <x:tableColumn id="1" name="Nama Komponen"/>
    <x:tableColumn id="2" name="Jenis"/>
    <x:tableColumn id="3" name="Basis"/>
    <x:tableColumn id="4" name="Target/Kode"/>
    <x:tableColumn id="5" name="Nominal"/>
    <x:tableColumn id="6" name="Aktif"/>
    <x:tableColumn id="7" name="Masuk Payroll"/>
    <x:tableColumn id="8" name="Catatan"/>
  </x:tableColumns>
  <x:tableStyleInfo name="TableStyleMedium2" showRowStripes="1"/>
</x:table>
</file>

<file path=xl/tables/table5.xml><?xml version="1.0" encoding="utf-8"?>
<x:table xmlns:x="http://schemas.openxmlformats.org/spreadsheetml/2006/main" id="5" name="JadwalTable" displayName="JadwalTable" ref="A1:G501" headerRowCount="1">
  <x:tableColumns count="7">
    <x:tableColumn id="1" name="Kode/Nama"/>
    <x:tableColumn id="2" name="Hari"/>
    <x:tableColumn id="3" name="Jam Masuk"/>
    <x:tableColumn id="4" name="Jam Pulang"/>
    <x:tableColumn id="5" name="Jam Pulang Normal"/>
    <x:tableColumn id="6" name="Wajib Masuk"/>
    <x:tableColumn id="7" name="Catatan"/>
  </x:tableColumns>
  <x:tableStyleInfo name="TableStyleMedium2" showRowStripes="1"/>
</x:table>
</file>

<file path=xl/tables/table6.xml><?xml version="1.0" encoding="utf-8"?>
<x:table xmlns:x="http://schemas.openxmlformats.org/spreadsheetml/2006/main" id="6" name="KalenderLiburTable" displayName="KalenderLiburTable" ref="A1:E101" headerRowCount="1">
  <x:tableColumns count="5">
    <x:tableColumn id="1" name="Tanggal"/>
    <x:tableColumn id="2" name="Nama Libur/Event"/>
    <x:tableColumn id="3" name="Tipe"/>
    <x:tableColumn id="4" name="Berlaku Untuk"/>
    <x:tableColumn id="5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LemburTable" displayName="LemburTable" ref="A1:K501" headerRowCount="1">
  <x:tableColumns count="11">
    <x:tableColumn id="1" name="Bulan"/>
    <x:tableColumn id="2" name="Kode/Nama"/>
    <x:tableColumn id="3" name="Tanggal"/>
    <x:tableColumn id="4" name="Jenis Lembur"/>
    <x:tableColumn id="5" name="Jam Mulai"/>
    <x:tableColumn id="6" name="Jam Selesai"/>
    <x:tableColumn id="7" name="Durasi Jam"/>
    <x:tableColumn id="8" name="Rate/Jam"/>
    <x:tableColumn id="9" name="Nominal"/>
    <x:tableColumn id="10" name="Status"/>
    <x:tableColumn id="11" name="Catatan"/>
  </x:tableColumns>
  <x:tableStyleInfo name="TableStyleMedium2" showRowStripes="1"/>
</x:table>
</file>

<file path=xl/tables/table8.xml><?xml version="1.0" encoding="utf-8"?>
<x:table xmlns:x="http://schemas.openxmlformats.org/spreadsheetml/2006/main" id="8" name="PayrollAwalTable" displayName="PayrollAwalTable" ref="A1:AF101" headerRowCount="1">
  <x:tableColumns count="32">
    <x:tableColumn id="1" name="Bulan"/>
    <x:tableColumn id="2" name="Nama"/>
    <x:tableColumn id="3" name="KODESLIP"/>
    <x:tableColumn id="4" name="NRK"/>
    <x:tableColumn id="5" name="Unit"/>
    <x:tableColumn id="6" name="Masa Kerja"/>
    <x:tableColumn id="7" name="Grade Khusus"/>
    <x:tableColumn id="8" name="Jabatan"/>
    <x:tableColumn id="9" name="Kode Jabatan"/>
    <x:tableColumn id="10" name="Jml Hari Kerja"/>
    <x:tableColumn id="11" name="On time"/>
    <x:tableColumn id="12" name="Telat"/>
    <x:tableColumn id="13" name="Sakit"/>
    <x:tableColumn id="14" name="Izin"/>
    <x:tableColumn id="15" name="Tanpa Ket."/>
    <x:tableColumn id="16" name="Gaji Pokok"/>
    <x:tableColumn id="17" name="Tunj. Fungsional"/>
    <x:tableColumn id="18" name="Tunj. Kehadiran"/>
    <x:tableColumn id="19" name="Tunj. Rumah"/>
    <x:tableColumn id="20" name="Tunj. Masa Kerja"/>
    <x:tableColumn id="21" name="Tunj. Lembur"/>
    <x:tableColumn id="22" name="Tunj. Makan"/>
    <x:tableColumn id="23" name="Tunj. Khusus"/>
    <x:tableColumn id="24" name="Gaji Sblm Potongan"/>
    <x:tableColumn id="25" name="Potongan Absen"/>
    <x:tableColumn id="26" name="Potongan Telat"/>
    <x:tableColumn id="27" name="Potongan Pinjaman"/>
    <x:tableColumn id="28" name="Total Potongan"/>
    <x:tableColumn id="29" name="Koreksi Gaji"/>
    <x:tableColumn id="30" name="Gaji Bersih"/>
    <x:tableColumn id="31" name="No.Rek Bank"/>
    <x:tableColumn id="32" name="Catatan Valida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3d38bfa670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e275ce989a4b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d4a62b4f04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cf700340ba4b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4120fe943048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a1d024d16141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f6ee3ce3b148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fa47e48fe3458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50" t="str">
        <x:v>Klar — Template Import Karyawan + Aturan Gaji + Lembur</x:v>
      </x:c>
      <x:c r="B1" s="50" t="str"/>
      <x:c r="C1" s="50" t="str"/>
      <x:c r="D1" s="50" t="str"/>
      <x:c r="E1" s="50" t="str"/>
      <x:c r="F1" s="50" t="str"/>
      <x:c r="G1" s="50" t="str"/>
      <x:c r="H1" s="50" t="str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51" t="str">
        <x:v>Tujuan</x:v>
      </x:c>
      <x:c r="B3" s="52" t="str">
        <x:v>Template ini dipakai untuk menyusun data karyawan, jabatan, golongan, komponen gaji, jadwal, lembur, dan hasil payroll awal yang bisa diimport ke Klar.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53" t="str">
        <x:v>Alur aman</x:v>
      </x:c>
      <x:c r="B4" s="54" t="str">
        <x:v>1) Isi Karyawan, Jabatan, Golongan, Komponen. 2) Isi Jadwal/Kalender Libur/Lembur bila perlu. 3) Cek Payroll Awal. 4) Upload ke Klar → pilih Baca &amp; Analisis → preview → Terapkan Import.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53" t="str">
        <x:v>Logika utama</x:v>
      </x:c>
      <x:c r="B5" s="54" t="str">
        <x:v>Klar akan mengimport sheet Payroll Awal sebagai snapshot nominal. Jadi gaji mengikuti hasil rumus Excel. Aturan jabatan dan golongan juga bisa diimport dari sheet Jabatan dan Golongan.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53" t="str">
        <x:v>Kode/Nama</x:v>
      </x:c>
      <x:c r="B6" s="54" t="str">
        <x:v>Jika sekolah memakai kode seperti TU-001/AA1 sebagai nama, isi kolom Nama dengan kode itu. Klar menerima kode sebagai identitas karyawan.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53" t="str">
        <x:v>Lembur</x:v>
      </x:c>
      <x:c r="B7" s="54" t="str">
        <x:v>Isi sheet Lembur. Hanya baris Status = Disetujui yang masuk ke Tunj. Lembur di Payroll Awal.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53" t="str">
        <x:v>Komponen</x:v>
      </x:c>
      <x:c r="B8" s="54" t="str">
        <x:v>Komponen tetap/variabel disiapkan di sheet Komponen. Untuk komponen yang butuh logika, buat output nominalnya masuk ke Payroll Awal.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53" t="str">
        <x:v>Peringatan</x:v>
      </x:c>
      <x:c r="B9" s="54" t="str">
        <x:v>Jangan hapus/mengubah nama header utama di Payroll Awal jika ingin import otomatis tetap cocok.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55" t="str">
        <x:v>Tanggal</x:v>
      </x:c>
      <x:c r="B10" s="56" t="str">
        <x:v>2026-06-22 13:09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22" hidden="0" customWidth="1"/>
    <x:col min="11" max="11" width="18" hidden="0" customWidth="1"/>
    <x:col min="12" max="12" width="12" hidden="0" customWidth="1"/>
  </x:cols>
  <x:sheetData>
    <x:row r="1">
      <x:c r="A1" s="40" t="str">
        <x:v>Nama</x:v>
      </x:c>
      <x:c r="B1" s="40" t="str">
        <x:v>NRK/NIP</x:v>
      </x:c>
      <x:c r="C1" s="40" t="str">
        <x:v>Unit</x:v>
      </x:c>
      <x:c r="D1" s="40" t="str">
        <x:v>Jabatan</x:v>
      </x:c>
      <x:c r="E1" s="40" t="str">
        <x:v>Kode Jabatan</x:v>
      </x:c>
      <x:c r="F1" s="40" t="str">
        <x:v>Grade Khusus</x:v>
      </x:c>
      <x:c r="G1" s="40" t="str">
        <x:v>Tanggal Masuk</x:v>
      </x:c>
      <x:c r="H1" s="40" t="str">
        <x:v>Masa Kerja</x:v>
      </x:c>
      <x:c r="I1" s="40" t="str">
        <x:v>Status</x:v>
      </x:c>
      <x:c r="J1" s="40" t="str">
        <x:v>No.Rek Bank</x:v>
      </x:c>
      <x:c r="K1" s="40" t="str">
        <x:v>Login</x:v>
      </x:c>
      <x:c r="L1" s="40" t="str">
        <x:v>PIN Awal</x:v>
      </x:c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TU-001</x:v>
      </x:c>
      <x:c r="B2" s="41" t="str">
        <x:v>TU-001</x:v>
      </x:c>
      <x:c r="C2" s="41" t="str">
        <x:v>Sekolah</x:v>
      </x:c>
      <x:c r="D2" s="41" t="str">
        <x:v>Staff TU/Admin</x:v>
      </x:c>
      <x:c r="E2" s="41" t="str">
        <x:v>TU</x:v>
      </x:c>
      <x:c r="F2" s="41" t="str">
        <x:v>1A</x:v>
      </x:c>
      <x:c r="G2" s="42" t="n">
        <x:v>45474</x:v>
      </x:c>
      <x:c r="H2" s="43" t="n">
        <x:v>2</x:v>
      </x:c>
      <x:c r="I2" s="41" t="str">
        <x:v>Aktif</x:v>
      </x:c>
      <x:c r="J2" s="41" t="str">
        <x:v>1234567890</x:v>
      </x:c>
      <x:c r="K2" s="41" t="str">
        <x:v>TU-001</x:v>
      </x:c>
      <x:c r="L2" s="41" t="str">
        <x:v>1234</x:v>
      </x:c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G-001</x:v>
      </x:c>
      <x:c r="B3" s="41" t="str">
        <x:v>G-001</x:v>
      </x:c>
      <x:c r="C3" s="41" t="str">
        <x:v>Sekolah</x:v>
      </x:c>
      <x:c r="D3" s="41" t="str">
        <x:v>Guru Kelas</x:v>
      </x:c>
      <x:c r="E3" s="41" t="str">
        <x:v>GURU</x:v>
      </x:c>
      <x:c r="F3" s="41" t="str">
        <x:v>1B</x:v>
      </x:c>
      <x:c r="G3" s="42" t="n">
        <x:v>45108</x:v>
      </x:c>
      <x:c r="H3" s="43" t="n">
        <x:v>3</x:v>
      </x:c>
      <x:c r="I3" s="41" t="str">
        <x:v>Aktif</x:v>
      </x:c>
      <x:c r="J3" s="41" t="str">
        <x:v>2234567890</x:v>
      </x:c>
      <x:c r="K3" s="41" t="str">
        <x:v>G-001</x:v>
      </x:c>
      <x:c r="L3" s="41" t="str">
        <x:v>1234</x:v>
      </x:c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PK-001</x:v>
      </x:c>
      <x:c r="B4" s="41" t="str">
        <x:v>PK-001</x:v>
      </x:c>
      <x:c r="C4" s="41" t="str">
        <x:v>Sekolah</x:v>
      </x:c>
      <x:c r="D4" s="41" t="str">
        <x:v>Petugas Kebersihan</x:v>
      </x:c>
      <x:c r="E4" s="41" t="str">
        <x:v>PK</x:v>
      </x:c>
      <x:c r="F4" s="41" t="str">
        <x:v>1A</x:v>
      </x:c>
      <x:c r="G4" s="42" t="n">
        <x:v>45658</x:v>
      </x:c>
      <x:c r="H4" s="43" t="n">
        <x:v>1</x:v>
      </x:c>
      <x:c r="I4" s="41" t="str">
        <x:v>Aktif</x:v>
      </x:c>
      <x:c r="J4" s="41" t="str">
        <x:v>3234567890</x:v>
      </x:c>
      <x:c r="K4" s="41" t="str">
        <x:v>PK-001</x:v>
      </x:c>
      <x:c r="L4" s="41" t="str">
        <x:v>1234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/>
      <x:c r="B5" s="41"/>
      <x:c r="C5" s="41"/>
      <x:c r="D5" s="41"/>
      <x:c r="E5" s="41"/>
      <x:c r="F5" s="41"/>
      <x:c r="G5" s="42"/>
      <x:c r="H5" s="43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/>
      <x:c r="B6" s="41"/>
      <x:c r="C6" s="41"/>
      <x:c r="D6" s="41"/>
      <x:c r="E6" s="41"/>
      <x:c r="F6" s="41"/>
      <x:c r="G6" s="42"/>
      <x:c r="H6" s="43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/>
      <x:c r="B7" s="41"/>
      <x:c r="C7" s="41"/>
      <x:c r="D7" s="41"/>
      <x:c r="E7" s="41"/>
      <x:c r="F7" s="41"/>
      <x:c r="G7" s="42"/>
      <x:c r="H7" s="43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/>
      <x:c r="B8" s="41"/>
      <x:c r="C8" s="41"/>
      <x:c r="D8" s="41"/>
      <x:c r="E8" s="41"/>
      <x:c r="F8" s="41"/>
      <x:c r="G8" s="42"/>
      <x:c r="H8" s="43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1"/>
      <x:c r="D9" s="41"/>
      <x:c r="E9" s="41"/>
      <x:c r="F9" s="41"/>
      <x:c r="G9" s="42"/>
      <x:c r="H9" s="43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1"/>
      <x:c r="D10" s="41"/>
      <x:c r="E10" s="41"/>
      <x:c r="F10" s="41"/>
      <x:c r="G10" s="42"/>
      <x:c r="H10" s="43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1"/>
      <x:c r="D11" s="41"/>
      <x:c r="E11" s="41"/>
      <x:c r="F11" s="41"/>
      <x:c r="G11" s="42"/>
      <x:c r="H11" s="43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1"/>
      <x:c r="D12" s="41"/>
      <x:c r="E12" s="41"/>
      <x:c r="F12" s="41"/>
      <x:c r="G12" s="42"/>
      <x:c r="H12" s="43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1"/>
      <x:c r="D13" s="41"/>
      <x:c r="E13" s="41"/>
      <x:c r="F13" s="41"/>
      <x:c r="G13" s="42"/>
      <x:c r="H13" s="43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1"/>
      <x:c r="D14" s="41"/>
      <x:c r="E14" s="41"/>
      <x:c r="F14" s="41"/>
      <x:c r="G14" s="42"/>
      <x:c r="H14" s="43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1"/>
      <x:c r="D15" s="41"/>
      <x:c r="E15" s="41"/>
      <x:c r="F15" s="41"/>
      <x:c r="G15" s="42"/>
      <x:c r="H15" s="43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1"/>
      <x:c r="D16" s="41"/>
      <x:c r="E16" s="41"/>
      <x:c r="F16" s="41"/>
      <x:c r="G16" s="42"/>
      <x:c r="H16" s="43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/>
      <x:c r="D17" s="41"/>
      <x:c r="E17" s="41"/>
      <x:c r="F17" s="41"/>
      <x:c r="G17" s="42"/>
      <x:c r="H17" s="43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/>
      <x:c r="D18" s="41"/>
      <x:c r="E18" s="41"/>
      <x:c r="F18" s="41"/>
      <x:c r="G18" s="42"/>
      <x:c r="H18" s="43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/>
      <x:c r="D19" s="41"/>
      <x:c r="E19" s="41"/>
      <x:c r="F19" s="41"/>
      <x:c r="G19" s="42"/>
      <x:c r="H19" s="43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/>
      <x:c r="D20" s="41"/>
      <x:c r="E20" s="41"/>
      <x:c r="F20" s="41"/>
      <x:c r="G20" s="42"/>
      <x:c r="H20" s="43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/>
      <x:c r="D21" s="41"/>
      <x:c r="E21" s="41"/>
      <x:c r="F21" s="41"/>
      <x:c r="G21" s="42"/>
      <x:c r="H21" s="43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/>
      <x:c r="D22" s="41"/>
      <x:c r="E22" s="41"/>
      <x:c r="F22" s="41"/>
      <x:c r="G22" s="42"/>
      <x:c r="H22" s="43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/>
      <x:c r="D23" s="41"/>
      <x:c r="E23" s="41"/>
      <x:c r="F23" s="41"/>
      <x:c r="G23" s="42"/>
      <x:c r="H23" s="43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/>
      <x:c r="D24" s="41"/>
      <x:c r="E24" s="41"/>
      <x:c r="F24" s="41"/>
      <x:c r="G24" s="42"/>
      <x:c r="H24" s="43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/>
      <x:c r="D25" s="41"/>
      <x:c r="E25" s="41"/>
      <x:c r="F25" s="41"/>
      <x:c r="G25" s="42"/>
      <x:c r="H25" s="43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/>
      <x:c r="D26" s="41"/>
      <x:c r="E26" s="41"/>
      <x:c r="F26" s="41"/>
      <x:c r="G26" s="42"/>
      <x:c r="H26" s="43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/>
      <x:c r="D27" s="41"/>
      <x:c r="E27" s="41"/>
      <x:c r="F27" s="41"/>
      <x:c r="G27" s="42"/>
      <x:c r="H27" s="43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/>
      <x:c r="D28" s="41"/>
      <x:c r="E28" s="41"/>
      <x:c r="F28" s="41"/>
      <x:c r="G28" s="42"/>
      <x:c r="H28" s="43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/>
      <x:c r="D29" s="41"/>
      <x:c r="E29" s="41"/>
      <x:c r="F29" s="41"/>
      <x:c r="G29" s="42"/>
      <x:c r="H29" s="43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/>
      <x:c r="D30" s="41"/>
      <x:c r="E30" s="41"/>
      <x:c r="F30" s="41"/>
      <x:c r="G30" s="42"/>
      <x:c r="H30" s="43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/>
      <x:c r="D31" s="41"/>
      <x:c r="E31" s="41"/>
      <x:c r="F31" s="41"/>
      <x:c r="G31" s="42"/>
      <x:c r="H31" s="43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/>
      <x:c r="D32" s="41"/>
      <x:c r="E32" s="41"/>
      <x:c r="F32" s="41"/>
      <x:c r="G32" s="42"/>
      <x:c r="H32" s="43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/>
      <x:c r="D33" s="41"/>
      <x:c r="E33" s="41"/>
      <x:c r="F33" s="41"/>
      <x:c r="G33" s="42"/>
      <x:c r="H33" s="43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/>
      <x:c r="D34" s="41"/>
      <x:c r="E34" s="41"/>
      <x:c r="F34" s="41"/>
      <x:c r="G34" s="42"/>
      <x:c r="H34" s="43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/>
      <x:c r="D35" s="41"/>
      <x:c r="E35" s="41"/>
      <x:c r="F35" s="41"/>
      <x:c r="G35" s="42"/>
      <x:c r="H35" s="43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/>
      <x:c r="D36" s="41"/>
      <x:c r="E36" s="41"/>
      <x:c r="F36" s="41"/>
      <x:c r="G36" s="42"/>
      <x:c r="H36" s="43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/>
      <x:c r="D37" s="41"/>
      <x:c r="E37" s="41"/>
      <x:c r="F37" s="41"/>
      <x:c r="G37" s="42"/>
      <x:c r="H37" s="43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/>
      <x:c r="D38" s="41"/>
      <x:c r="E38" s="41"/>
      <x:c r="F38" s="41"/>
      <x:c r="G38" s="42"/>
      <x:c r="H38" s="43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/>
      <x:c r="D39" s="41"/>
      <x:c r="E39" s="41"/>
      <x:c r="F39" s="41"/>
      <x:c r="G39" s="42"/>
      <x:c r="H39" s="43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/>
      <x:c r="D40" s="41"/>
      <x:c r="E40" s="41"/>
      <x:c r="F40" s="41"/>
      <x:c r="G40" s="42"/>
      <x:c r="H40" s="43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/>
      <x:c r="D41" s="41"/>
      <x:c r="E41" s="41"/>
      <x:c r="F41" s="41"/>
      <x:c r="G41" s="42"/>
      <x:c r="H41" s="43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/>
      <x:c r="D42" s="41"/>
      <x:c r="E42" s="41"/>
      <x:c r="F42" s="41"/>
      <x:c r="G42" s="42"/>
      <x:c r="H42" s="43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/>
      <x:c r="D43" s="41"/>
      <x:c r="E43" s="41"/>
      <x:c r="F43" s="41"/>
      <x:c r="G43" s="42"/>
      <x:c r="H43" s="43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/>
      <x:c r="D44" s="41"/>
      <x:c r="E44" s="41"/>
      <x:c r="F44" s="41"/>
      <x:c r="G44" s="42"/>
      <x:c r="H44" s="43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/>
      <x:c r="D45" s="41"/>
      <x:c r="E45" s="41"/>
      <x:c r="F45" s="41"/>
      <x:c r="G45" s="42"/>
      <x:c r="H45" s="43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/>
      <x:c r="D46" s="41"/>
      <x:c r="E46" s="41"/>
      <x:c r="F46" s="41"/>
      <x:c r="G46" s="42"/>
      <x:c r="H46" s="43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/>
      <x:c r="D47" s="41"/>
      <x:c r="E47" s="41"/>
      <x:c r="F47" s="41"/>
      <x:c r="G47" s="42"/>
      <x:c r="H47" s="43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/>
      <x:c r="D48" s="41"/>
      <x:c r="E48" s="41"/>
      <x:c r="F48" s="41"/>
      <x:c r="G48" s="42"/>
      <x:c r="H48" s="43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/>
      <x:c r="D49" s="41"/>
      <x:c r="E49" s="41"/>
      <x:c r="F49" s="41"/>
      <x:c r="G49" s="42"/>
      <x:c r="H49" s="43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/>
      <x:c r="D50" s="41"/>
      <x:c r="E50" s="41"/>
      <x:c r="F50" s="41"/>
      <x:c r="G50" s="42"/>
      <x:c r="H50" s="43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/>
      <x:c r="D51" s="41"/>
      <x:c r="E51" s="41"/>
      <x:c r="F51" s="41"/>
      <x:c r="G51" s="42"/>
      <x:c r="H51" s="43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/>
      <x:c r="D52" s="41"/>
      <x:c r="E52" s="41"/>
      <x:c r="F52" s="41"/>
      <x:c r="G52" s="42"/>
      <x:c r="H52" s="43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/>
      <x:c r="D53" s="41"/>
      <x:c r="E53" s="41"/>
      <x:c r="F53" s="41"/>
      <x:c r="G53" s="42"/>
      <x:c r="H53" s="43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/>
      <x:c r="D54" s="41"/>
      <x:c r="E54" s="41"/>
      <x:c r="F54" s="41"/>
      <x:c r="G54" s="42"/>
      <x:c r="H54" s="43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/>
      <x:c r="D55" s="41"/>
      <x:c r="E55" s="41"/>
      <x:c r="F55" s="41"/>
      <x:c r="G55" s="42"/>
      <x:c r="H55" s="43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/>
      <x:c r="D56" s="41"/>
      <x:c r="E56" s="41"/>
      <x:c r="F56" s="41"/>
      <x:c r="G56" s="42"/>
      <x:c r="H56" s="43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/>
      <x:c r="D57" s="41"/>
      <x:c r="E57" s="41"/>
      <x:c r="F57" s="41"/>
      <x:c r="G57" s="42"/>
      <x:c r="H57" s="43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/>
      <x:c r="D58" s="41"/>
      <x:c r="E58" s="41"/>
      <x:c r="F58" s="41"/>
      <x:c r="G58" s="42"/>
      <x:c r="H58" s="43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/>
      <x:c r="D59" s="41"/>
      <x:c r="E59" s="41"/>
      <x:c r="F59" s="41"/>
      <x:c r="G59" s="42"/>
      <x:c r="H59" s="43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/>
      <x:c r="D60" s="41"/>
      <x:c r="E60" s="41"/>
      <x:c r="F60" s="41"/>
      <x:c r="G60" s="42"/>
      <x:c r="H60" s="43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/>
      <x:c r="D61" s="41"/>
      <x:c r="E61" s="41"/>
      <x:c r="F61" s="41"/>
      <x:c r="G61" s="42"/>
      <x:c r="H61" s="43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/>
      <x:c r="D62" s="41"/>
      <x:c r="E62" s="41"/>
      <x:c r="F62" s="41"/>
      <x:c r="G62" s="42"/>
      <x:c r="H62" s="43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/>
      <x:c r="D63" s="41"/>
      <x:c r="E63" s="41"/>
      <x:c r="F63" s="41"/>
      <x:c r="G63" s="42"/>
      <x:c r="H63" s="43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/>
      <x:c r="D64" s="41"/>
      <x:c r="E64" s="41"/>
      <x:c r="F64" s="41"/>
      <x:c r="G64" s="42"/>
      <x:c r="H64" s="43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/>
      <x:c r="D65" s="41"/>
      <x:c r="E65" s="41"/>
      <x:c r="F65" s="41"/>
      <x:c r="G65" s="42"/>
      <x:c r="H65" s="43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/>
      <x:c r="D66" s="41"/>
      <x:c r="E66" s="41"/>
      <x:c r="F66" s="41"/>
      <x:c r="G66" s="42"/>
      <x:c r="H66" s="43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/>
      <x:c r="D67" s="41"/>
      <x:c r="E67" s="41"/>
      <x:c r="F67" s="41"/>
      <x:c r="G67" s="42"/>
      <x:c r="H67" s="43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/>
      <x:c r="D68" s="41"/>
      <x:c r="E68" s="41"/>
      <x:c r="F68" s="41"/>
      <x:c r="G68" s="42"/>
      <x:c r="H68" s="43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/>
      <x:c r="D69" s="41"/>
      <x:c r="E69" s="41"/>
      <x:c r="F69" s="41"/>
      <x:c r="G69" s="42"/>
      <x:c r="H69" s="43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/>
      <x:c r="D70" s="41"/>
      <x:c r="E70" s="41"/>
      <x:c r="F70" s="41"/>
      <x:c r="G70" s="42"/>
      <x:c r="H70" s="43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/>
      <x:c r="D71" s="41"/>
      <x:c r="E71" s="41"/>
      <x:c r="F71" s="41"/>
      <x:c r="G71" s="42"/>
      <x:c r="H71" s="43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/>
      <x:c r="D72" s="41"/>
      <x:c r="E72" s="41"/>
      <x:c r="F72" s="41"/>
      <x:c r="G72" s="42"/>
      <x:c r="H72" s="43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/>
      <x:c r="D73" s="41"/>
      <x:c r="E73" s="41"/>
      <x:c r="F73" s="41"/>
      <x:c r="G73" s="42"/>
      <x:c r="H73" s="43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/>
      <x:c r="D74" s="41"/>
      <x:c r="E74" s="41"/>
      <x:c r="F74" s="41"/>
      <x:c r="G74" s="42"/>
      <x:c r="H74" s="43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/>
      <x:c r="D75" s="41"/>
      <x:c r="E75" s="41"/>
      <x:c r="F75" s="41"/>
      <x:c r="G75" s="42"/>
      <x:c r="H75" s="43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/>
      <x:c r="D76" s="41"/>
      <x:c r="E76" s="41"/>
      <x:c r="F76" s="41"/>
      <x:c r="G76" s="42"/>
      <x:c r="H76" s="43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/>
      <x:c r="D77" s="41"/>
      <x:c r="E77" s="41"/>
      <x:c r="F77" s="41"/>
      <x:c r="G77" s="42"/>
      <x:c r="H77" s="43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/>
      <x:c r="D78" s="41"/>
      <x:c r="E78" s="41"/>
      <x:c r="F78" s="41"/>
      <x:c r="G78" s="42"/>
      <x:c r="H78" s="43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/>
      <x:c r="D79" s="41"/>
      <x:c r="E79" s="41"/>
      <x:c r="F79" s="41"/>
      <x:c r="G79" s="42"/>
      <x:c r="H79" s="43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/>
      <x:c r="D80" s="41"/>
      <x:c r="E80" s="41"/>
      <x:c r="F80" s="41"/>
      <x:c r="G80" s="42"/>
      <x:c r="H80" s="43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/>
      <x:c r="D81" s="41"/>
      <x:c r="E81" s="41"/>
      <x:c r="F81" s="41"/>
      <x:c r="G81" s="42"/>
      <x:c r="H81" s="43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/>
      <x:c r="D82" s="41"/>
      <x:c r="E82" s="41"/>
      <x:c r="F82" s="41"/>
      <x:c r="G82" s="42"/>
      <x:c r="H82" s="43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/>
      <x:c r="D83" s="41"/>
      <x:c r="E83" s="41"/>
      <x:c r="F83" s="41"/>
      <x:c r="G83" s="42"/>
      <x:c r="H83" s="43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/>
      <x:c r="D84" s="41"/>
      <x:c r="E84" s="41"/>
      <x:c r="F84" s="41"/>
      <x:c r="G84" s="42"/>
      <x:c r="H84" s="43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/>
      <x:c r="D85" s="41"/>
      <x:c r="E85" s="41"/>
      <x:c r="F85" s="41"/>
      <x:c r="G85" s="42"/>
      <x:c r="H85" s="43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/>
      <x:c r="D86" s="41"/>
      <x:c r="E86" s="41"/>
      <x:c r="F86" s="41"/>
      <x:c r="G86" s="42"/>
      <x:c r="H86" s="43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/>
      <x:c r="D87" s="41"/>
      <x:c r="E87" s="41"/>
      <x:c r="F87" s="41"/>
      <x:c r="G87" s="42"/>
      <x:c r="H87" s="43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/>
      <x:c r="D88" s="41"/>
      <x:c r="E88" s="41"/>
      <x:c r="F88" s="41"/>
      <x:c r="G88" s="42"/>
      <x:c r="H88" s="43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/>
      <x:c r="D89" s="41"/>
      <x:c r="E89" s="41"/>
      <x:c r="F89" s="41"/>
      <x:c r="G89" s="42"/>
      <x:c r="H89" s="43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/>
      <x:c r="D90" s="41"/>
      <x:c r="E90" s="41"/>
      <x:c r="F90" s="41"/>
      <x:c r="G90" s="42"/>
      <x:c r="H90" s="43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/>
      <x:c r="D91" s="41"/>
      <x:c r="E91" s="41"/>
      <x:c r="F91" s="41"/>
      <x:c r="G91" s="42"/>
      <x:c r="H91" s="43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/>
      <x:c r="D92" s="41"/>
      <x:c r="E92" s="41"/>
      <x:c r="F92" s="41"/>
      <x:c r="G92" s="42"/>
      <x:c r="H92" s="43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/>
      <x:c r="D93" s="41"/>
      <x:c r="E93" s="41"/>
      <x:c r="F93" s="41"/>
      <x:c r="G93" s="42"/>
      <x:c r="H93" s="43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/>
      <x:c r="D94" s="41"/>
      <x:c r="E94" s="41"/>
      <x:c r="F94" s="41"/>
      <x:c r="G94" s="42"/>
      <x:c r="H94" s="43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/>
      <x:c r="D95" s="41"/>
      <x:c r="E95" s="41"/>
      <x:c r="F95" s="41"/>
      <x:c r="G95" s="42"/>
      <x:c r="H95" s="43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/>
      <x:c r="D96" s="41"/>
      <x:c r="E96" s="41"/>
      <x:c r="F96" s="41"/>
      <x:c r="G96" s="42"/>
      <x:c r="H96" s="43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/>
      <x:c r="D97" s="41"/>
      <x:c r="E97" s="41"/>
      <x:c r="F97" s="41"/>
      <x:c r="G97" s="42"/>
      <x:c r="H97" s="43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/>
      <x:c r="D98" s="41"/>
      <x:c r="E98" s="41"/>
      <x:c r="F98" s="41"/>
      <x:c r="G98" s="42"/>
      <x:c r="H98" s="43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/>
      <x:c r="D99" s="41"/>
      <x:c r="E99" s="41"/>
      <x:c r="F99" s="41"/>
      <x:c r="G99" s="42"/>
      <x:c r="H99" s="43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/>
      <x:c r="D100" s="41"/>
      <x:c r="E100" s="41"/>
      <x:c r="F100" s="41"/>
      <x:c r="G100" s="42"/>
      <x:c r="H100" s="43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/>
      <x:c r="D101" s="41"/>
      <x:c r="E101" s="41"/>
      <x:c r="F101" s="41"/>
      <x:c r="G101" s="42"/>
      <x:c r="H101" s="43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dataValidations count="3">
    <x:dataValidation type="list" sqref="I2:I101">
      <x:formula1>List!$A$2:$A$4</x:formula1>
    </x:dataValidation>
    <x:dataValidation type="list" sqref="E2:E101">
      <x:formula1>Jabatan!$B$2:$B$101</x:formula1>
    </x:dataValidation>
    <x:dataValidation type="list" sqref="F2:F101">
      <x:formula1>Golongan!$B$2:$B$101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d38bfa67044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6" hidden="0" customWidth="1"/>
    <x:col min="4" max="4" width="18" hidden="0" customWidth="1"/>
    <x:col min="5" max="5" width="18" hidden="0" customWidth="1"/>
    <x:col min="6" max="6" width="30" hidden="0" customWidth="1"/>
  </x:cols>
  <x:sheetData>
    <x:row r="1">
      <x:c r="A1" s="40" t="str">
        <x:v>Unit</x:v>
      </x:c>
      <x:c r="B1" s="40" t="str">
        <x:v>Kode</x:v>
      </x:c>
      <x:c r="C1" s="40" t="str">
        <x:v>Jabatan</x:v>
      </x:c>
      <x:c r="D1" s="40" t="str">
        <x:v>Tj Fungsional</x:v>
      </x:c>
      <x:c r="E1" s="40" t="str">
        <x:v>Tj Rumah</x:v>
      </x:c>
      <x:c r="F1" s="40" t="str">
        <x:v>Catatan</x:v>
      </x:c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Sekolah</x:v>
      </x:c>
      <x:c r="B2" s="41" t="str">
        <x:v>TU</x:v>
      </x:c>
      <x:c r="C2" s="41" t="str">
        <x:v>Staff TU/Admin</x:v>
      </x:c>
      <x:c r="D2" s="48" t="n">
        <x:v>400000</x:v>
      </x:c>
      <x:c r="E2" s="48" t="n">
        <x:v>0</x:v>
      </x:c>
      <x:c r="F2" s="41" t="str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Sekolah</x:v>
      </x:c>
      <x:c r="B3" s="41" t="str">
        <x:v>GURU</x:v>
      </x:c>
      <x:c r="C3" s="41" t="str">
        <x:v>Guru Kelas</x:v>
      </x:c>
      <x:c r="D3" s="48" t="n">
        <x:v>900000</x:v>
      </x:c>
      <x:c r="E3" s="48" t="n">
        <x:v>0</x:v>
      </x:c>
      <x:c r="F3" s="41" t="str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Sekolah</x:v>
      </x:c>
      <x:c r="B4" s="41" t="str">
        <x:v>PK</x:v>
      </x:c>
      <x:c r="C4" s="41" t="str">
        <x:v>Petugas Kebersihan</x:v>
      </x:c>
      <x:c r="D4" s="48" t="n">
        <x:v>300000</x:v>
      </x:c>
      <x:c r="E4" s="48" t="n">
        <x:v>0</x:v>
      </x:c>
      <x:c r="F4" s="41" t="str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 t="str">
        <x:v>Sekolah</x:v>
      </x:c>
      <x:c r="B5" s="41" t="str">
        <x:v>KS</x:v>
      </x:c>
      <x:c r="C5" s="41" t="str">
        <x:v>Kepala Sekolah</x:v>
      </x:c>
      <x:c r="D5" s="48" t="n">
        <x:v>1500000</x:v>
      </x:c>
      <x:c r="E5" s="48" t="n">
        <x:v>500000</x:v>
      </x:c>
      <x:c r="F5" s="41" t="str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/>
      <x:c r="B6" s="41"/>
      <x:c r="C6" s="41"/>
      <x:c r="D6" s="48"/>
      <x:c r="E6" s="48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/>
      <x:c r="B7" s="41"/>
      <x:c r="C7" s="41"/>
      <x:c r="D7" s="48"/>
      <x:c r="E7" s="48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/>
      <x:c r="B8" s="41"/>
      <x:c r="C8" s="41"/>
      <x:c r="D8" s="48"/>
      <x:c r="E8" s="48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1"/>
      <x:c r="D9" s="48"/>
      <x:c r="E9" s="48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1"/>
      <x:c r="D10" s="48"/>
      <x:c r="E10" s="48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1"/>
      <x:c r="D11" s="48"/>
      <x:c r="E11" s="48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1"/>
      <x:c r="D12" s="48"/>
      <x:c r="E12" s="48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1"/>
      <x:c r="D13" s="48"/>
      <x:c r="E13" s="48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1"/>
      <x:c r="D14" s="48"/>
      <x:c r="E14" s="48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1"/>
      <x:c r="D15" s="48"/>
      <x:c r="E15" s="48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1"/>
      <x:c r="D16" s="48"/>
      <x:c r="E16" s="48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/>
      <x:c r="D17" s="48"/>
      <x:c r="E17" s="48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/>
      <x:c r="D18" s="48"/>
      <x:c r="E18" s="48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/>
      <x:c r="D19" s="48"/>
      <x:c r="E19" s="48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/>
      <x:c r="D20" s="48"/>
      <x:c r="E20" s="48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/>
      <x:c r="D21" s="48"/>
      <x:c r="E21" s="48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/>
      <x:c r="D22" s="48"/>
      <x:c r="E22" s="48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/>
      <x:c r="D23" s="48"/>
      <x:c r="E23" s="48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/>
      <x:c r="D24" s="48"/>
      <x:c r="E24" s="48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/>
      <x:c r="D25" s="48"/>
      <x:c r="E25" s="48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/>
      <x:c r="D26" s="48"/>
      <x:c r="E26" s="48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/>
      <x:c r="D27" s="48"/>
      <x:c r="E27" s="48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/>
      <x:c r="D28" s="48"/>
      <x:c r="E28" s="48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/>
      <x:c r="D29" s="48"/>
      <x:c r="E29" s="48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/>
      <x:c r="D30" s="48"/>
      <x:c r="E30" s="48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/>
      <x:c r="D31" s="48"/>
      <x:c r="E31" s="48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/>
      <x:c r="D32" s="48"/>
      <x:c r="E32" s="48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/>
      <x:c r="D33" s="48"/>
      <x:c r="E33" s="48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/>
      <x:c r="D34" s="48"/>
      <x:c r="E34" s="48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/>
      <x:c r="D35" s="48"/>
      <x:c r="E35" s="48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/>
      <x:c r="D36" s="48"/>
      <x:c r="E36" s="48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/>
      <x:c r="D37" s="48"/>
      <x:c r="E37" s="48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/>
      <x:c r="D38" s="48"/>
      <x:c r="E38" s="48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/>
      <x:c r="D39" s="48"/>
      <x:c r="E39" s="48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/>
      <x:c r="D40" s="48"/>
      <x:c r="E40" s="48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/>
      <x:c r="D41" s="48"/>
      <x:c r="E41" s="48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/>
      <x:c r="D42" s="48"/>
      <x:c r="E42" s="48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/>
      <x:c r="D43" s="48"/>
      <x:c r="E43" s="48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/>
      <x:c r="D44" s="48"/>
      <x:c r="E44" s="48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/>
      <x:c r="D45" s="48"/>
      <x:c r="E45" s="48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/>
      <x:c r="D46" s="48"/>
      <x:c r="E46" s="48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/>
      <x:c r="D47" s="48"/>
      <x:c r="E47" s="48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/>
      <x:c r="D48" s="48"/>
      <x:c r="E48" s="48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/>
      <x:c r="D49" s="48"/>
      <x:c r="E49" s="48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/>
      <x:c r="D50" s="48"/>
      <x:c r="E50" s="48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/>
      <x:c r="D51" s="48"/>
      <x:c r="E51" s="48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/>
      <x:c r="D52" s="48"/>
      <x:c r="E52" s="48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/>
      <x:c r="D53" s="48"/>
      <x:c r="E53" s="48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/>
      <x:c r="D54" s="48"/>
      <x:c r="E54" s="48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/>
      <x:c r="D55" s="48"/>
      <x:c r="E55" s="48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/>
      <x:c r="D56" s="48"/>
      <x:c r="E56" s="48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/>
      <x:c r="D57" s="48"/>
      <x:c r="E57" s="48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/>
      <x:c r="D58" s="48"/>
      <x:c r="E58" s="48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/>
      <x:c r="D59" s="48"/>
      <x:c r="E59" s="48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/>
      <x:c r="D60" s="48"/>
      <x:c r="E60" s="48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/>
      <x:c r="D61" s="48"/>
      <x:c r="E61" s="48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/>
      <x:c r="D62" s="48"/>
      <x:c r="E62" s="48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/>
      <x:c r="D63" s="48"/>
      <x:c r="E63" s="48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/>
      <x:c r="D64" s="48"/>
      <x:c r="E64" s="48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/>
      <x:c r="D65" s="48"/>
      <x:c r="E65" s="48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/>
      <x:c r="D66" s="48"/>
      <x:c r="E66" s="48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/>
      <x:c r="D67" s="48"/>
      <x:c r="E67" s="48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/>
      <x:c r="D68" s="48"/>
      <x:c r="E68" s="48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/>
      <x:c r="D69" s="48"/>
      <x:c r="E69" s="48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/>
      <x:c r="D70" s="48"/>
      <x:c r="E70" s="48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/>
      <x:c r="D71" s="48"/>
      <x:c r="E71" s="48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/>
      <x:c r="D72" s="48"/>
      <x:c r="E72" s="48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/>
      <x:c r="D73" s="48"/>
      <x:c r="E73" s="48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/>
      <x:c r="D74" s="48"/>
      <x:c r="E74" s="48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/>
      <x:c r="D75" s="48"/>
      <x:c r="E75" s="48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/>
      <x:c r="D76" s="48"/>
      <x:c r="E76" s="48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/>
      <x:c r="D77" s="48"/>
      <x:c r="E77" s="48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/>
      <x:c r="D78" s="48"/>
      <x:c r="E78" s="48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/>
      <x:c r="D79" s="48"/>
      <x:c r="E79" s="48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/>
      <x:c r="D80" s="48"/>
      <x:c r="E80" s="48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/>
      <x:c r="D81" s="48"/>
      <x:c r="E81" s="48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/>
      <x:c r="D82" s="48"/>
      <x:c r="E82" s="48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/>
      <x:c r="D83" s="48"/>
      <x:c r="E83" s="48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/>
      <x:c r="D84" s="48"/>
      <x:c r="E84" s="48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/>
      <x:c r="D85" s="48"/>
      <x:c r="E85" s="48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/>
      <x:c r="D86" s="48"/>
      <x:c r="E86" s="48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/>
      <x:c r="D87" s="48"/>
      <x:c r="E87" s="48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/>
      <x:c r="D88" s="48"/>
      <x:c r="E88" s="48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/>
      <x:c r="D89" s="48"/>
      <x:c r="E89" s="48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/>
      <x:c r="D90" s="48"/>
      <x:c r="E90" s="48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/>
      <x:c r="D91" s="48"/>
      <x:c r="E91" s="48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/>
      <x:c r="D92" s="48"/>
      <x:c r="E92" s="48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/>
      <x:c r="D93" s="48"/>
      <x:c r="E93" s="48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/>
      <x:c r="D94" s="48"/>
      <x:c r="E94" s="48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/>
      <x:c r="D95" s="48"/>
      <x:c r="E95" s="48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/>
      <x:c r="D96" s="48"/>
      <x:c r="E96" s="48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/>
      <x:c r="D97" s="48"/>
      <x:c r="E97" s="48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/>
      <x:c r="D98" s="48"/>
      <x:c r="E98" s="48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/>
      <x:c r="D99" s="48"/>
      <x:c r="E99" s="48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/>
      <x:c r="D100" s="48"/>
      <x:c r="E100" s="48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/>
      <x:c r="D101" s="48"/>
      <x:c r="E101" s="48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pageMargins left="0.7" right="0.7" top="0.75" bottom="0.75" header="0.3" footer="0.3"/>
  <x:tableParts count="1">
    <x:tablePart xmlns:r="http://schemas.openxmlformats.org/officeDocument/2006/relationships" r:id="Rdbe275ce989a4b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30" hidden="0" customWidth="1"/>
  </x:cols>
  <x:sheetData>
    <x:row r="1">
      <x:c r="A1" s="40" t="str">
        <x:v>Pendidikan/Level</x:v>
      </x:c>
      <x:c r="B1" s="40" t="str">
        <x:v>Grade</x:v>
      </x:c>
      <x:c r="C1" s="40" t="str">
        <x:v>Gaji Pokok</x:v>
      </x:c>
      <x:c r="D1" s="40" t="str">
        <x:v>Tj Hadir / Hari</x:v>
      </x:c>
      <x:c r="E1" s="40" t="str">
        <x:v>Tj Hdr 1bulan</x:v>
      </x:c>
      <x:c r="F1" s="40" t="str">
        <x:v>Minimal Tahun</x:v>
      </x:c>
      <x:c r="G1" s="40" t="str">
        <x:v>Catatan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Awal</x:v>
      </x:c>
      <x:c r="B2" s="41" t="str">
        <x:v>1A</x:v>
      </x:c>
      <x:c r="C2" s="48" t="n">
        <x:v>1800000</x:v>
      </x:c>
      <x:c r="D2" s="48" t="n">
        <x:v>10000</x:v>
      </x:c>
      <x:c r="E2" s="48" t="n">
        <x:v>240000</x:v>
      </x:c>
      <x:c r="F2" s="43" t="n">
        <x:v>0</x:v>
      </x:c>
      <x:c r="G2" s="41" t="str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Awal</x:v>
      </x:c>
      <x:c r="B3" s="41" t="str">
        <x:v>1B</x:v>
      </x:c>
      <x:c r="C3" s="48" t="n">
        <x:v>2000000</x:v>
      </x:c>
      <x:c r="D3" s="48" t="n">
        <x:v>12000</x:v>
      </x:c>
      <x:c r="E3" s="48" t="n">
        <x:v>288000</x:v>
      </x:c>
      <x:c r="F3" s="43" t="n">
        <x:v>1</x:v>
      </x:c>
      <x:c r="G3" s="41" t="str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Menengah</x:v>
      </x:c>
      <x:c r="B4" s="41" t="str">
        <x:v>2A</x:v>
      </x:c>
      <x:c r="C4" s="48" t="n">
        <x:v>2300000</x:v>
      </x:c>
      <x:c r="D4" s="48" t="n">
        <x:v>15000</x:v>
      </x:c>
      <x:c r="E4" s="48" t="n">
        <x:v>360000</x:v>
      </x:c>
      <x:c r="F4" s="43" t="n">
        <x:v>3</x:v>
      </x:c>
      <x:c r="G4" s="41" t="str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 t="str">
        <x:v>Senior</x:v>
      </x:c>
      <x:c r="B5" s="41" t="str">
        <x:v>3A</x:v>
      </x:c>
      <x:c r="C5" s="48" t="n">
        <x:v>2800000</x:v>
      </x:c>
      <x:c r="D5" s="48" t="n">
        <x:v>18000</x:v>
      </x:c>
      <x:c r="E5" s="48" t="n">
        <x:v>432000</x:v>
      </x:c>
      <x:c r="F5" s="43" t="n">
        <x:v>5</x:v>
      </x:c>
      <x:c r="G5" s="41" t="str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/>
      <x:c r="B6" s="41"/>
      <x:c r="C6" s="48"/>
      <x:c r="D6" s="48"/>
      <x:c r="E6" s="48"/>
      <x:c r="F6" s="43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/>
      <x:c r="B7" s="41"/>
      <x:c r="C7" s="48"/>
      <x:c r="D7" s="48"/>
      <x:c r="E7" s="48"/>
      <x:c r="F7" s="43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/>
      <x:c r="B8" s="41"/>
      <x:c r="C8" s="48"/>
      <x:c r="D8" s="48"/>
      <x:c r="E8" s="48"/>
      <x:c r="F8" s="43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8"/>
      <x:c r="D9" s="48"/>
      <x:c r="E9" s="48"/>
      <x:c r="F9" s="43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8"/>
      <x:c r="D10" s="48"/>
      <x:c r="E10" s="48"/>
      <x:c r="F10" s="43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8"/>
      <x:c r="D11" s="48"/>
      <x:c r="E11" s="48"/>
      <x:c r="F11" s="43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8"/>
      <x:c r="D12" s="48"/>
      <x:c r="E12" s="48"/>
      <x:c r="F12" s="43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8"/>
      <x:c r="D13" s="48"/>
      <x:c r="E13" s="48"/>
      <x:c r="F13" s="43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8"/>
      <x:c r="D14" s="48"/>
      <x:c r="E14" s="48"/>
      <x:c r="F14" s="43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8"/>
      <x:c r="D15" s="48"/>
      <x:c r="E15" s="48"/>
      <x:c r="F15" s="43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8"/>
      <x:c r="D16" s="48"/>
      <x:c r="E16" s="48"/>
      <x:c r="F16" s="43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8"/>
      <x:c r="D17" s="48"/>
      <x:c r="E17" s="48"/>
      <x:c r="F17" s="43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8"/>
      <x:c r="D18" s="48"/>
      <x:c r="E18" s="48"/>
      <x:c r="F18" s="43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8"/>
      <x:c r="D19" s="48"/>
      <x:c r="E19" s="48"/>
      <x:c r="F19" s="43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8"/>
      <x:c r="D20" s="48"/>
      <x:c r="E20" s="48"/>
      <x:c r="F20" s="43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8"/>
      <x:c r="D21" s="48"/>
      <x:c r="E21" s="48"/>
      <x:c r="F21" s="43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8"/>
      <x:c r="D22" s="48"/>
      <x:c r="E22" s="48"/>
      <x:c r="F22" s="43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8"/>
      <x:c r="D23" s="48"/>
      <x:c r="E23" s="48"/>
      <x:c r="F23" s="43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8"/>
      <x:c r="D24" s="48"/>
      <x:c r="E24" s="48"/>
      <x:c r="F24" s="43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8"/>
      <x:c r="D25" s="48"/>
      <x:c r="E25" s="48"/>
      <x:c r="F25" s="43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8"/>
      <x:c r="D26" s="48"/>
      <x:c r="E26" s="48"/>
      <x:c r="F26" s="43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8"/>
      <x:c r="D27" s="48"/>
      <x:c r="E27" s="48"/>
      <x:c r="F27" s="43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8"/>
      <x:c r="D28" s="48"/>
      <x:c r="E28" s="48"/>
      <x:c r="F28" s="43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8"/>
      <x:c r="D29" s="48"/>
      <x:c r="E29" s="48"/>
      <x:c r="F29" s="43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8"/>
      <x:c r="D30" s="48"/>
      <x:c r="E30" s="48"/>
      <x:c r="F30" s="43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8"/>
      <x:c r="D31" s="48"/>
      <x:c r="E31" s="48"/>
      <x:c r="F31" s="43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8"/>
      <x:c r="D32" s="48"/>
      <x:c r="E32" s="48"/>
      <x:c r="F32" s="43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8"/>
      <x:c r="D33" s="48"/>
      <x:c r="E33" s="48"/>
      <x:c r="F33" s="43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8"/>
      <x:c r="D34" s="48"/>
      <x:c r="E34" s="48"/>
      <x:c r="F34" s="43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8"/>
      <x:c r="D35" s="48"/>
      <x:c r="E35" s="48"/>
      <x:c r="F35" s="43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8"/>
      <x:c r="D36" s="48"/>
      <x:c r="E36" s="48"/>
      <x:c r="F36" s="43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8"/>
      <x:c r="D37" s="48"/>
      <x:c r="E37" s="48"/>
      <x:c r="F37" s="43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8"/>
      <x:c r="D38" s="48"/>
      <x:c r="E38" s="48"/>
      <x:c r="F38" s="43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8"/>
      <x:c r="D39" s="48"/>
      <x:c r="E39" s="48"/>
      <x:c r="F39" s="43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8"/>
      <x:c r="D40" s="48"/>
      <x:c r="E40" s="48"/>
      <x:c r="F40" s="43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8"/>
      <x:c r="D41" s="48"/>
      <x:c r="E41" s="48"/>
      <x:c r="F41" s="43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8"/>
      <x:c r="D42" s="48"/>
      <x:c r="E42" s="48"/>
      <x:c r="F42" s="43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8"/>
      <x:c r="D43" s="48"/>
      <x:c r="E43" s="48"/>
      <x:c r="F43" s="43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8"/>
      <x:c r="D44" s="48"/>
      <x:c r="E44" s="48"/>
      <x:c r="F44" s="43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8"/>
      <x:c r="D45" s="48"/>
      <x:c r="E45" s="48"/>
      <x:c r="F45" s="43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8"/>
      <x:c r="D46" s="48"/>
      <x:c r="E46" s="48"/>
      <x:c r="F46" s="43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8"/>
      <x:c r="D47" s="48"/>
      <x:c r="E47" s="48"/>
      <x:c r="F47" s="43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8"/>
      <x:c r="D48" s="48"/>
      <x:c r="E48" s="48"/>
      <x:c r="F48" s="43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8"/>
      <x:c r="D49" s="48"/>
      <x:c r="E49" s="48"/>
      <x:c r="F49" s="43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8"/>
      <x:c r="D50" s="48"/>
      <x:c r="E50" s="48"/>
      <x:c r="F50" s="43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8"/>
      <x:c r="D51" s="48"/>
      <x:c r="E51" s="48"/>
      <x:c r="F51" s="43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8"/>
      <x:c r="D52" s="48"/>
      <x:c r="E52" s="48"/>
      <x:c r="F52" s="43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8"/>
      <x:c r="D53" s="48"/>
      <x:c r="E53" s="48"/>
      <x:c r="F53" s="43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8"/>
      <x:c r="D54" s="48"/>
      <x:c r="E54" s="48"/>
      <x:c r="F54" s="43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8"/>
      <x:c r="D55" s="48"/>
      <x:c r="E55" s="48"/>
      <x:c r="F55" s="43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8"/>
      <x:c r="D56" s="48"/>
      <x:c r="E56" s="48"/>
      <x:c r="F56" s="43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8"/>
      <x:c r="D57" s="48"/>
      <x:c r="E57" s="48"/>
      <x:c r="F57" s="43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8"/>
      <x:c r="D58" s="48"/>
      <x:c r="E58" s="48"/>
      <x:c r="F58" s="43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8"/>
      <x:c r="D59" s="48"/>
      <x:c r="E59" s="48"/>
      <x:c r="F59" s="43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8"/>
      <x:c r="D60" s="48"/>
      <x:c r="E60" s="48"/>
      <x:c r="F60" s="43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8"/>
      <x:c r="D61" s="48"/>
      <x:c r="E61" s="48"/>
      <x:c r="F61" s="43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8"/>
      <x:c r="D62" s="48"/>
      <x:c r="E62" s="48"/>
      <x:c r="F62" s="43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8"/>
      <x:c r="D63" s="48"/>
      <x:c r="E63" s="48"/>
      <x:c r="F63" s="43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8"/>
      <x:c r="D64" s="48"/>
      <x:c r="E64" s="48"/>
      <x:c r="F64" s="43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8"/>
      <x:c r="D65" s="48"/>
      <x:c r="E65" s="48"/>
      <x:c r="F65" s="43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8"/>
      <x:c r="D66" s="48"/>
      <x:c r="E66" s="48"/>
      <x:c r="F66" s="43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8"/>
      <x:c r="D67" s="48"/>
      <x:c r="E67" s="48"/>
      <x:c r="F67" s="43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8"/>
      <x:c r="D68" s="48"/>
      <x:c r="E68" s="48"/>
      <x:c r="F68" s="43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8"/>
      <x:c r="D69" s="48"/>
      <x:c r="E69" s="48"/>
      <x:c r="F69" s="43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8"/>
      <x:c r="D70" s="48"/>
      <x:c r="E70" s="48"/>
      <x:c r="F70" s="43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8"/>
      <x:c r="D71" s="48"/>
      <x:c r="E71" s="48"/>
      <x:c r="F71" s="43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8"/>
      <x:c r="D72" s="48"/>
      <x:c r="E72" s="48"/>
      <x:c r="F72" s="43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8"/>
      <x:c r="D73" s="48"/>
      <x:c r="E73" s="48"/>
      <x:c r="F73" s="43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8"/>
      <x:c r="D74" s="48"/>
      <x:c r="E74" s="48"/>
      <x:c r="F74" s="43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8"/>
      <x:c r="D75" s="48"/>
      <x:c r="E75" s="48"/>
      <x:c r="F75" s="43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8"/>
      <x:c r="D76" s="48"/>
      <x:c r="E76" s="48"/>
      <x:c r="F76" s="43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8"/>
      <x:c r="D77" s="48"/>
      <x:c r="E77" s="48"/>
      <x:c r="F77" s="43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8"/>
      <x:c r="D78" s="48"/>
      <x:c r="E78" s="48"/>
      <x:c r="F78" s="43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8"/>
      <x:c r="D79" s="48"/>
      <x:c r="E79" s="48"/>
      <x:c r="F79" s="43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8"/>
      <x:c r="D80" s="48"/>
      <x:c r="E80" s="48"/>
      <x:c r="F80" s="43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8"/>
      <x:c r="D81" s="48"/>
      <x:c r="E81" s="48"/>
      <x:c r="F81" s="43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8"/>
      <x:c r="D82" s="48"/>
      <x:c r="E82" s="48"/>
      <x:c r="F82" s="43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8"/>
      <x:c r="D83" s="48"/>
      <x:c r="E83" s="48"/>
      <x:c r="F83" s="43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8"/>
      <x:c r="D84" s="48"/>
      <x:c r="E84" s="48"/>
      <x:c r="F84" s="43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8"/>
      <x:c r="D85" s="48"/>
      <x:c r="E85" s="48"/>
      <x:c r="F85" s="43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8"/>
      <x:c r="D86" s="48"/>
      <x:c r="E86" s="48"/>
      <x:c r="F86" s="43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8"/>
      <x:c r="D87" s="48"/>
      <x:c r="E87" s="48"/>
      <x:c r="F87" s="43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8"/>
      <x:c r="D88" s="48"/>
      <x:c r="E88" s="48"/>
      <x:c r="F88" s="43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8"/>
      <x:c r="D89" s="48"/>
      <x:c r="E89" s="48"/>
      <x:c r="F89" s="43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8"/>
      <x:c r="D90" s="48"/>
      <x:c r="E90" s="48"/>
      <x:c r="F90" s="43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8"/>
      <x:c r="D91" s="48"/>
      <x:c r="E91" s="48"/>
      <x:c r="F91" s="43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8"/>
      <x:c r="D92" s="48"/>
      <x:c r="E92" s="48"/>
      <x:c r="F92" s="43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8"/>
      <x:c r="D93" s="48"/>
      <x:c r="E93" s="48"/>
      <x:c r="F93" s="43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8"/>
      <x:c r="D94" s="48"/>
      <x:c r="E94" s="48"/>
      <x:c r="F94" s="43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8"/>
      <x:c r="D95" s="48"/>
      <x:c r="E95" s="48"/>
      <x:c r="F95" s="43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8"/>
      <x:c r="D96" s="48"/>
      <x:c r="E96" s="48"/>
      <x:c r="F96" s="43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8"/>
      <x:c r="D97" s="48"/>
      <x:c r="E97" s="48"/>
      <x:c r="F97" s="43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8"/>
      <x:c r="D98" s="48"/>
      <x:c r="E98" s="48"/>
      <x:c r="F98" s="43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8"/>
      <x:c r="D99" s="48"/>
      <x:c r="E99" s="48"/>
      <x:c r="F99" s="43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8"/>
      <x:c r="D100" s="48"/>
      <x:c r="E100" s="48"/>
      <x:c r="F100" s="43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8"/>
      <x:c r="D101" s="48"/>
      <x:c r="E101" s="48"/>
      <x:c r="F101" s="43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pageMargins left="0.7" right="0.7" top="0.75" bottom="0.75" header="0.3" footer="0.3"/>
  <x:tableParts count="1">
    <x:tablePart xmlns:r="http://schemas.openxmlformats.org/officeDocument/2006/relationships" r:id="Rfbd4a62b4f044d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  <x:col min="7" max="7" width="22" hidden="0" customWidth="1"/>
    <x:col min="8" max="8" width="42" hidden="0" customWidth="1"/>
  </x:cols>
  <x:sheetData>
    <x:row r="1">
      <x:c r="A1" s="40" t="str">
        <x:v>Nama Komponen</x:v>
      </x:c>
      <x:c r="B1" s="40" t="str">
        <x:v>Jenis</x:v>
      </x:c>
      <x:c r="C1" s="40" t="str">
        <x:v>Basis</x:v>
      </x:c>
      <x:c r="D1" s="40" t="str">
        <x:v>Target/Kode</x:v>
      </x:c>
      <x:c r="E1" s="40" t="str">
        <x:v>Nominal</x:v>
      </x:c>
      <x:c r="F1" s="40" t="str">
        <x:v>Aktif</x:v>
      </x:c>
      <x:c r="G1" s="40" t="str">
        <x:v>Masuk Payroll</x:v>
      </x:c>
      <x:c r="H1" s="40" t="str">
        <x:v>Catatan</x:v>
      </x:c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Tunjangan Masa Kerja / Tahun</x:v>
      </x:c>
      <x:c r="B2" s="41" t="str">
        <x:v>Tambah</x:v>
      </x:c>
      <x:c r="C2" s="41" t="str">
        <x:v>Per Tahun Masa Kerja</x:v>
      </x:c>
      <x:c r="D2" s="41" t="str">
        <x:v>Semua</x:v>
      </x:c>
      <x:c r="E2" s="48" t="n">
        <x:v>50000</x:v>
      </x:c>
      <x:c r="F2" s="41" t="str">
        <x:v>Ya</x:v>
      </x:c>
      <x:c r="G2" s="41" t="str">
        <x:v>Tunj. Masa Kerja</x:v>
      </x:c>
      <x:c r="H2" s="41" t="str">
        <x:v>Nominal dikali masa kerja</x:v>
      </x:c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Uang Makan / Hari</x:v>
      </x:c>
      <x:c r="B3" s="41" t="str">
        <x:v>Tambah</x:v>
      </x:c>
      <x:c r="C3" s="41" t="str">
        <x:v>Per Kehadiran</x:v>
      </x:c>
      <x:c r="D3" s="41" t="str">
        <x:v>Semua</x:v>
      </x:c>
      <x:c r="E3" s="48" t="n">
        <x:v>0</x:v>
      </x:c>
      <x:c r="F3" s="41" t="str">
        <x:v>Ya</x:v>
      </x:c>
      <x:c r="G3" s="41" t="str">
        <x:v>Tunj. Makan</x:v>
      </x:c>
      <x:c r="H3" s="41" t="str">
        <x:v>Isi bila dipakai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Potongan Alpha</x:v>
      </x:c>
      <x:c r="B4" s="41" t="str">
        <x:v>Potong</x:v>
      </x:c>
      <x:c r="C4" s="41" t="str">
        <x:v>Per Kejadian</x:v>
      </x:c>
      <x:c r="D4" s="41" t="str">
        <x:v>Semua</x:v>
      </x:c>
      <x:c r="E4" s="48" t="n">
        <x:v>50000</x:v>
      </x:c>
      <x:c r="F4" s="41" t="str">
        <x:v>Ya</x:v>
      </x:c>
      <x:c r="G4" s="41" t="str">
        <x:v>Potongan Absen</x:v>
      </x:c>
      <x:c r="H4" s="41" t="str">
        <x:v>Dikali jumlah alpha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 t="str">
        <x:v>Potongan Telat</x:v>
      </x:c>
      <x:c r="B5" s="41" t="str">
        <x:v>Potong</x:v>
      </x:c>
      <x:c r="C5" s="41" t="str">
        <x:v>Per Kejadian</x:v>
      </x:c>
      <x:c r="D5" s="41" t="str">
        <x:v>Semua</x:v>
      </x:c>
      <x:c r="E5" s="48" t="n">
        <x:v>5000</x:v>
      </x:c>
      <x:c r="F5" s="41" t="str">
        <x:v>Ya</x:v>
      </x:c>
      <x:c r="G5" s="41" t="str">
        <x:v>Potongan Telat</x:v>
      </x:c>
      <x:c r="H5" s="41" t="str">
        <x:v>Dikali jumlah telat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 t="str">
        <x:v>Pinjaman/Kasbon</x:v>
      </x:c>
      <x:c r="B6" s="41" t="str">
        <x:v>Potong</x:v>
      </x:c>
      <x:c r="C6" s="41" t="str">
        <x:v>Manual Payroll</x:v>
      </x:c>
      <x:c r="D6" s="41" t="str">
        <x:v>Semua</x:v>
      </x:c>
      <x:c r="E6" s="48" t="n">
        <x:v>0</x:v>
      </x:c>
      <x:c r="F6" s="41" t="str">
        <x:v>Ya</x:v>
      </x:c>
      <x:c r="G6" s="41" t="str">
        <x:v>Potongan Pinjaman</x:v>
      </x:c>
      <x:c r="H6" s="41" t="str">
        <x:v>Isi manual di Payroll Awal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 t="str">
        <x:v>Insentif Khusus</x:v>
      </x:c>
      <x:c r="B7" s="41" t="str">
        <x:v>Tambah</x:v>
      </x:c>
      <x:c r="C7" s="41" t="str">
        <x:v>Manual Payroll</x:v>
      </x:c>
      <x:c r="D7" s="41" t="str">
        <x:v>Semua</x:v>
      </x:c>
      <x:c r="E7" s="48" t="n">
        <x:v>0</x:v>
      </x:c>
      <x:c r="F7" s="41" t="str">
        <x:v>Ya</x:v>
      </x:c>
      <x:c r="G7" s="41" t="str">
        <x:v>Tunj. Khusus</x:v>
      </x:c>
      <x:c r="H7" s="41" t="str">
        <x:v>Isi manual di Payroll Awal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/>
      <x:c r="B8" s="41"/>
      <x:c r="C8" s="41"/>
      <x:c r="D8" s="41"/>
      <x:c r="E8" s="48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1"/>
      <x:c r="D9" s="41"/>
      <x:c r="E9" s="48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1"/>
      <x:c r="D10" s="41"/>
      <x:c r="E10" s="48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1"/>
      <x:c r="D11" s="41"/>
      <x:c r="E11" s="48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1"/>
      <x:c r="D12" s="41"/>
      <x:c r="E12" s="48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1"/>
      <x:c r="D13" s="41"/>
      <x:c r="E13" s="48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1"/>
      <x:c r="D14" s="41"/>
      <x:c r="E14" s="48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1"/>
      <x:c r="D15" s="41"/>
      <x:c r="E15" s="48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1"/>
      <x:c r="D16" s="41"/>
      <x:c r="E16" s="48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/>
      <x:c r="D17" s="41"/>
      <x:c r="E17" s="48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/>
      <x:c r="D18" s="41"/>
      <x:c r="E18" s="48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/>
      <x:c r="D19" s="41"/>
      <x:c r="E19" s="48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/>
      <x:c r="D20" s="41"/>
      <x:c r="E20" s="48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/>
      <x:c r="D21" s="41"/>
      <x:c r="E21" s="48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/>
      <x:c r="D22" s="41"/>
      <x:c r="E22" s="48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/>
      <x:c r="D23" s="41"/>
      <x:c r="E23" s="48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/>
      <x:c r="D24" s="41"/>
      <x:c r="E24" s="48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/>
      <x:c r="D25" s="41"/>
      <x:c r="E25" s="48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/>
      <x:c r="D26" s="41"/>
      <x:c r="E26" s="48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/>
      <x:c r="D27" s="41"/>
      <x:c r="E27" s="48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/>
      <x:c r="D28" s="41"/>
      <x:c r="E28" s="48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/>
      <x:c r="D29" s="41"/>
      <x:c r="E29" s="48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/>
      <x:c r="D30" s="41"/>
      <x:c r="E30" s="48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/>
      <x:c r="D31" s="41"/>
      <x:c r="E31" s="48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/>
      <x:c r="D32" s="41"/>
      <x:c r="E32" s="48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/>
      <x:c r="D33" s="41"/>
      <x:c r="E33" s="48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/>
      <x:c r="D34" s="41"/>
      <x:c r="E34" s="48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/>
      <x:c r="D35" s="41"/>
      <x:c r="E35" s="48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/>
      <x:c r="D36" s="41"/>
      <x:c r="E36" s="48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/>
      <x:c r="D37" s="41"/>
      <x:c r="E37" s="48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/>
      <x:c r="D38" s="41"/>
      <x:c r="E38" s="48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/>
      <x:c r="D39" s="41"/>
      <x:c r="E39" s="48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/>
      <x:c r="D40" s="41"/>
      <x:c r="E40" s="48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/>
      <x:c r="D41" s="41"/>
      <x:c r="E41" s="48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/>
      <x:c r="D42" s="41"/>
      <x:c r="E42" s="48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/>
      <x:c r="D43" s="41"/>
      <x:c r="E43" s="48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/>
      <x:c r="D44" s="41"/>
      <x:c r="E44" s="48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/>
      <x:c r="D45" s="41"/>
      <x:c r="E45" s="48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/>
      <x:c r="D46" s="41"/>
      <x:c r="E46" s="48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/>
      <x:c r="D47" s="41"/>
      <x:c r="E47" s="48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/>
      <x:c r="D48" s="41"/>
      <x:c r="E48" s="48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/>
      <x:c r="D49" s="41"/>
      <x:c r="E49" s="48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/>
      <x:c r="D50" s="41"/>
      <x:c r="E50" s="48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/>
      <x:c r="D51" s="41"/>
      <x:c r="E51" s="48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/>
      <x:c r="D52" s="41"/>
      <x:c r="E52" s="48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/>
      <x:c r="D53" s="41"/>
      <x:c r="E53" s="48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/>
      <x:c r="D54" s="41"/>
      <x:c r="E54" s="48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/>
      <x:c r="D55" s="41"/>
      <x:c r="E55" s="48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/>
      <x:c r="D56" s="41"/>
      <x:c r="E56" s="48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/>
      <x:c r="D57" s="41"/>
      <x:c r="E57" s="48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/>
      <x:c r="D58" s="41"/>
      <x:c r="E58" s="48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/>
      <x:c r="D59" s="41"/>
      <x:c r="E59" s="48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/>
      <x:c r="D60" s="41"/>
      <x:c r="E60" s="48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/>
      <x:c r="D61" s="41"/>
      <x:c r="E61" s="48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/>
      <x:c r="D62" s="41"/>
      <x:c r="E62" s="48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/>
      <x:c r="D63" s="41"/>
      <x:c r="E63" s="48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/>
      <x:c r="D64" s="41"/>
      <x:c r="E64" s="48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/>
      <x:c r="D65" s="41"/>
      <x:c r="E65" s="48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/>
      <x:c r="D66" s="41"/>
      <x:c r="E66" s="48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/>
      <x:c r="D67" s="41"/>
      <x:c r="E67" s="48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/>
      <x:c r="D68" s="41"/>
      <x:c r="E68" s="48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/>
      <x:c r="D69" s="41"/>
      <x:c r="E69" s="48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/>
      <x:c r="D70" s="41"/>
      <x:c r="E70" s="48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/>
      <x:c r="D71" s="41"/>
      <x:c r="E71" s="48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/>
      <x:c r="D72" s="41"/>
      <x:c r="E72" s="48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/>
      <x:c r="D73" s="41"/>
      <x:c r="E73" s="48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/>
      <x:c r="D74" s="41"/>
      <x:c r="E74" s="48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/>
      <x:c r="D75" s="41"/>
      <x:c r="E75" s="48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/>
      <x:c r="D76" s="41"/>
      <x:c r="E76" s="48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/>
      <x:c r="D77" s="41"/>
      <x:c r="E77" s="48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/>
      <x:c r="D78" s="41"/>
      <x:c r="E78" s="48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/>
      <x:c r="D79" s="41"/>
      <x:c r="E79" s="48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/>
      <x:c r="D80" s="41"/>
      <x:c r="E80" s="48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/>
      <x:c r="D81" s="41"/>
      <x:c r="E81" s="48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/>
      <x:c r="D82" s="41"/>
      <x:c r="E82" s="48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/>
      <x:c r="D83" s="41"/>
      <x:c r="E83" s="48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/>
      <x:c r="D84" s="41"/>
      <x:c r="E84" s="48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/>
      <x:c r="D85" s="41"/>
      <x:c r="E85" s="48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/>
      <x:c r="D86" s="41"/>
      <x:c r="E86" s="48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/>
      <x:c r="D87" s="41"/>
      <x:c r="E87" s="48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/>
      <x:c r="D88" s="41"/>
      <x:c r="E88" s="48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/>
      <x:c r="D89" s="41"/>
      <x:c r="E89" s="48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/>
      <x:c r="D90" s="41"/>
      <x:c r="E90" s="48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/>
      <x:c r="D91" s="41"/>
      <x:c r="E91" s="48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/>
      <x:c r="D92" s="41"/>
      <x:c r="E92" s="48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/>
      <x:c r="D93" s="41"/>
      <x:c r="E93" s="48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/>
      <x:c r="D94" s="41"/>
      <x:c r="E94" s="48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/>
      <x:c r="D95" s="41"/>
      <x:c r="E95" s="48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/>
      <x:c r="D96" s="41"/>
      <x:c r="E96" s="48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/>
      <x:c r="D97" s="41"/>
      <x:c r="E97" s="48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/>
      <x:c r="D98" s="41"/>
      <x:c r="E98" s="48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/>
      <x:c r="D99" s="41"/>
      <x:c r="E99" s="48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/>
      <x:c r="D100" s="41"/>
      <x:c r="E100" s="48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/>
      <x:c r="D101" s="41"/>
      <x:c r="E101" s="48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dataValidations count="3">
    <x:dataValidation type="list" sqref="B2:B101">
      <x:formula1>List!$B$2:$B$3</x:formula1>
    </x:dataValidation>
    <x:dataValidation type="list" sqref="C2:C101">
      <x:formula1>List!$C$2:$C$7</x:formula1>
    </x:dataValidation>
    <x:dataValidation type="list" sqref="F2:F101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cf700340ba4b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34" hidden="0" customWidth="1"/>
  </x:cols>
  <x:sheetData>
    <x:row r="1">
      <x:c r="A1" s="40" t="str">
        <x:v>Kode/Nama</x:v>
      </x:c>
      <x:c r="B1" s="40" t="str">
        <x:v>Hari</x:v>
      </x:c>
      <x:c r="C1" s="40" t="str">
        <x:v>Jam Masuk</x:v>
      </x:c>
      <x:c r="D1" s="40" t="str">
        <x:v>Jam Pulang</x:v>
      </x:c>
      <x:c r="E1" s="40" t="str">
        <x:v>Jam Pulang Normal</x:v>
      </x:c>
      <x:c r="F1" s="40" t="str">
        <x:v>Wajib Masuk</x:v>
      </x:c>
      <x:c r="G1" s="40" t="str">
        <x:v>Catatan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TU-001</x:v>
      </x:c>
      <x:c r="B2" s="41" t="str">
        <x:v>Senin</x:v>
      </x:c>
      <x:c r="C2" s="41" t="str">
        <x:v>07:00</x:v>
      </x:c>
      <x:c r="D2" s="41" t="str">
        <x:v>15:00</x:v>
      </x:c>
      <x:c r="E2" s="41" t="str">
        <x:v>15:00</x:v>
      </x:c>
      <x:c r="F2" s="41" t="str">
        <x:v>Ya</x:v>
      </x:c>
      <x:c r="G2" s="41" t="str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TU-001</x:v>
      </x:c>
      <x:c r="B3" s="41" t="str">
        <x:v>Selasa</x:v>
      </x:c>
      <x:c r="C3" s="41" t="str">
        <x:v>07:00</x:v>
      </x:c>
      <x:c r="D3" s="41" t="str">
        <x:v>15:00</x:v>
      </x:c>
      <x:c r="E3" s="41" t="str">
        <x:v>15:00</x:v>
      </x:c>
      <x:c r="F3" s="41" t="str">
        <x:v>Ya</x:v>
      </x:c>
      <x:c r="G3" s="41" t="str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TU-001</x:v>
      </x:c>
      <x:c r="B4" s="41" t="str">
        <x:v>Rabu</x:v>
      </x:c>
      <x:c r="C4" s="41" t="str">
        <x:v>07:00</x:v>
      </x:c>
      <x:c r="D4" s="41" t="str">
        <x:v>15:00</x:v>
      </x:c>
      <x:c r="E4" s="41" t="str">
        <x:v>15:00</x:v>
      </x:c>
      <x:c r="F4" s="41" t="str">
        <x:v>Ya</x:v>
      </x:c>
      <x:c r="G4" s="41" t="str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 t="str">
        <x:v>TU-001</x:v>
      </x:c>
      <x:c r="B5" s="41" t="str">
        <x:v>Kamis</x:v>
      </x:c>
      <x:c r="C5" s="41" t="str">
        <x:v>07:00</x:v>
      </x:c>
      <x:c r="D5" s="41" t="str">
        <x:v>15:00</x:v>
      </x:c>
      <x:c r="E5" s="41" t="str">
        <x:v>15:00</x:v>
      </x:c>
      <x:c r="F5" s="41" t="str">
        <x:v>Ya</x:v>
      </x:c>
      <x:c r="G5" s="41" t="str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 t="str">
        <x:v>TU-001</x:v>
      </x:c>
      <x:c r="B6" s="41" t="str">
        <x:v>Jumat</x:v>
      </x:c>
      <x:c r="C6" s="41" t="str">
        <x:v>07:00</x:v>
      </x:c>
      <x:c r="D6" s="41" t="str">
        <x:v>15:00</x:v>
      </x:c>
      <x:c r="E6" s="41" t="str">
        <x:v>15:00</x:v>
      </x:c>
      <x:c r="F6" s="41" t="str">
        <x:v>Ya</x:v>
      </x:c>
      <x:c r="G6" s="41" t="str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 t="str">
        <x:v>G-001</x:v>
      </x:c>
      <x:c r="B7" s="41" t="str">
        <x:v>Senin</x:v>
      </x:c>
      <x:c r="C7" s="41" t="str">
        <x:v>07:00</x:v>
      </x:c>
      <x:c r="D7" s="41" t="str">
        <x:v>15:00</x:v>
      </x:c>
      <x:c r="E7" s="41" t="str">
        <x:v>15:00</x:v>
      </x:c>
      <x:c r="F7" s="41" t="str">
        <x:v>Ya</x:v>
      </x:c>
      <x:c r="G7" s="41" t="str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 t="str">
        <x:v>G-001</x:v>
      </x:c>
      <x:c r="B8" s="41" t="str">
        <x:v>Selasa</x:v>
      </x:c>
      <x:c r="C8" s="41" t="str">
        <x:v>07:00</x:v>
      </x:c>
      <x:c r="D8" s="41" t="str">
        <x:v>15:00</x:v>
      </x:c>
      <x:c r="E8" s="41" t="str">
        <x:v>15:00</x:v>
      </x:c>
      <x:c r="F8" s="41" t="str">
        <x:v>Ya</x:v>
      </x:c>
      <x:c r="G8" s="41" t="str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 t="str">
        <x:v>G-001</x:v>
      </x:c>
      <x:c r="B9" s="41" t="str">
        <x:v>Rabu</x:v>
      </x:c>
      <x:c r="C9" s="41" t="str">
        <x:v>07:00</x:v>
      </x:c>
      <x:c r="D9" s="41" t="str">
        <x:v>15:00</x:v>
      </x:c>
      <x:c r="E9" s="41" t="str">
        <x:v>15:00</x:v>
      </x:c>
      <x:c r="F9" s="41" t="str">
        <x:v>Ya</x:v>
      </x:c>
      <x:c r="G9" s="41" t="str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 t="str">
        <x:v>G-001</x:v>
      </x:c>
      <x:c r="B10" s="41" t="str">
        <x:v>Kamis</x:v>
      </x:c>
      <x:c r="C10" s="41" t="str">
        <x:v>07:00</x:v>
      </x:c>
      <x:c r="D10" s="41" t="str">
        <x:v>15:00</x:v>
      </x:c>
      <x:c r="E10" s="41" t="str">
        <x:v>15:00</x:v>
      </x:c>
      <x:c r="F10" s="41" t="str">
        <x:v>Ya</x:v>
      </x:c>
      <x:c r="G10" s="41" t="str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 t="str">
        <x:v>G-001</x:v>
      </x:c>
      <x:c r="B11" s="41" t="str">
        <x:v>Jumat</x:v>
      </x:c>
      <x:c r="C11" s="41" t="str">
        <x:v>07:00</x:v>
      </x:c>
      <x:c r="D11" s="41" t="str">
        <x:v>15:00</x:v>
      </x:c>
      <x:c r="E11" s="41" t="str">
        <x:v>15:00</x:v>
      </x:c>
      <x:c r="F11" s="41" t="str">
        <x:v>Ya</x:v>
      </x:c>
      <x:c r="G11" s="41" t="str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 t="str">
        <x:v>PK-001</x:v>
      </x:c>
      <x:c r="B12" s="41" t="str">
        <x:v>Senin</x:v>
      </x:c>
      <x:c r="C12" s="41" t="str">
        <x:v>07:00</x:v>
      </x:c>
      <x:c r="D12" s="41" t="str">
        <x:v>15:00</x:v>
      </x:c>
      <x:c r="E12" s="41" t="str">
        <x:v>15:00</x:v>
      </x:c>
      <x:c r="F12" s="41" t="str">
        <x:v>Ya</x:v>
      </x:c>
      <x:c r="G12" s="41" t="str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 t="str">
        <x:v>PK-001</x:v>
      </x:c>
      <x:c r="B13" s="41" t="str">
        <x:v>Selasa</x:v>
      </x:c>
      <x:c r="C13" s="41" t="str">
        <x:v>07:00</x:v>
      </x:c>
      <x:c r="D13" s="41" t="str">
        <x:v>15:00</x:v>
      </x:c>
      <x:c r="E13" s="41" t="str">
        <x:v>15:00</x:v>
      </x:c>
      <x:c r="F13" s="41" t="str">
        <x:v>Ya</x:v>
      </x:c>
      <x:c r="G13" s="41" t="str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 t="str">
        <x:v>PK-001</x:v>
      </x:c>
      <x:c r="B14" s="41" t="str">
        <x:v>Rabu</x:v>
      </x:c>
      <x:c r="C14" s="41" t="str">
        <x:v>07:00</x:v>
      </x:c>
      <x:c r="D14" s="41" t="str">
        <x:v>15:00</x:v>
      </x:c>
      <x:c r="E14" s="41" t="str">
        <x:v>15:00</x:v>
      </x:c>
      <x:c r="F14" s="41" t="str">
        <x:v>Ya</x:v>
      </x:c>
      <x:c r="G14" s="41" t="str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 t="str">
        <x:v>PK-001</x:v>
      </x:c>
      <x:c r="B15" s="41" t="str">
        <x:v>Kamis</x:v>
      </x:c>
      <x:c r="C15" s="41" t="str">
        <x:v>07:00</x:v>
      </x:c>
      <x:c r="D15" s="41" t="str">
        <x:v>15:00</x:v>
      </x:c>
      <x:c r="E15" s="41" t="str">
        <x:v>15:00</x:v>
      </x:c>
      <x:c r="F15" s="41" t="str">
        <x:v>Ya</x:v>
      </x:c>
      <x:c r="G15" s="41" t="str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 t="str">
        <x:v>PK-001</x:v>
      </x:c>
      <x:c r="B16" s="41" t="str">
        <x:v>Jumat</x:v>
      </x:c>
      <x:c r="C16" s="41" t="str">
        <x:v>07:00</x:v>
      </x:c>
      <x:c r="D16" s="41" t="str">
        <x:v>15:00</x:v>
      </x:c>
      <x:c r="E16" s="41" t="str">
        <x:v>15:00</x:v>
      </x:c>
      <x:c r="F16" s="41" t="str">
        <x:v>Ya</x:v>
      </x:c>
      <x:c r="G16" s="41" t="str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dataValidations count="2">
    <x:dataValidation type="list" sqref="B2:B501">
      <x:formula1>List!$E$2:$E$8</x:formula1>
    </x:dataValidation>
    <x:dataValidation type="list" sqref="F2:F501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120fe943048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40" hidden="0" customWidth="1"/>
  </x:cols>
  <x:sheetData>
    <x:row r="1">
      <x:c r="A1" s="40" t="str">
        <x:v>Tanggal</x:v>
      </x:c>
      <x:c r="B1" s="40" t="str">
        <x:v>Nama Libur/Event</x:v>
      </x:c>
      <x:c r="C1" s="40" t="str">
        <x:v>Tipe</x:v>
      </x:c>
      <x:c r="D1" s="40" t="str">
        <x:v>Berlaku Untuk</x:v>
      </x:c>
      <x:c r="E1" s="40" t="str">
        <x:v>Catatan</x:v>
      </x:c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2" t="n">
        <x:v>46023</x:v>
      </x:c>
      <x:c r="B2" s="41" t="str">
        <x:v>Tahun Baru</x:v>
      </x:c>
      <x:c r="C2" s="41" t="str">
        <x:v>Libur Nasional</x:v>
      </x:c>
      <x:c r="D2" s="41" t="str">
        <x:v>Semua</x:v>
      </x:c>
      <x:c r="E2" s="41" t="str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2" t="n">
        <x:v>46190</x:v>
      </x:c>
      <x:c r="B3" s="41" t="str">
        <x:v>Contoh Event Sekolah</x:v>
      </x:c>
      <x:c r="C3" s="41" t="str">
        <x:v>Event</x:v>
      </x:c>
      <x:c r="D3" s="41" t="str">
        <x:v>Semua</x:v>
      </x:c>
      <x:c r="E3" s="41" t="str">
        <x:v>Jika masuk bisa dihitung lembur event</x:v>
      </x:c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2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2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2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2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2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2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2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2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2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2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2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2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2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2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2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2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2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2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2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2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2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2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2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2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2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2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2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2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2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2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2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2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2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2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2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2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2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2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2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2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2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2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2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2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2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2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2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2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2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2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2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2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2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2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2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2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2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2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2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2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2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2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2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2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2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2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2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2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2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2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2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2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2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2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2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2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2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2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2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2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2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2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2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2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2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2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2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2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2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2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2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2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2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2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2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2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2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2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pageMargins left="0.7" right="0.7" top="0.75" bottom="0.75" header="0.3" footer="0.3"/>
  <x:tableParts count="1">
    <x:tablePart xmlns:r="http://schemas.openxmlformats.org/officeDocument/2006/relationships" r:id="R1ea1d024d161414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38" hidden="0" customWidth="1"/>
    <x:col min="12" max="12" width="24" hidden="0" customWidth="1"/>
  </x:cols>
  <x:sheetData>
    <x:row r="1">
      <x:c r="A1" s="40" t="str">
        <x:v>Bulan</x:v>
      </x:c>
      <x:c r="B1" s="40" t="str">
        <x:v>Kode/Nama</x:v>
      </x:c>
      <x:c r="C1" s="40" t="str">
        <x:v>Tanggal</x:v>
      </x:c>
      <x:c r="D1" s="40" t="str">
        <x:v>Jenis Lembur</x:v>
      </x:c>
      <x:c r="E1" s="40" t="str">
        <x:v>Jam Mulai</x:v>
      </x:c>
      <x:c r="F1" s="40" t="str">
        <x:v>Jam Selesai</x:v>
      </x:c>
      <x:c r="G1" s="40" t="str">
        <x:v>Durasi Jam</x:v>
      </x:c>
      <x:c r="H1" s="40" t="str">
        <x:v>Rate/Jam</x:v>
      </x:c>
      <x:c r="I1" s="40" t="str">
        <x:v>Nominal</x:v>
      </x:c>
      <x:c r="J1" s="40" t="str">
        <x:v>Status</x:v>
      </x:c>
      <x:c r="K1" s="40" t="str">
        <x:v>Catatan</x:v>
      </x:c>
      <x:c r="L1" s="40" t="str">
        <x:v>Key</x:v>
      </x:c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2026-06</x:v>
      </x:c>
      <x:c r="B2" s="41" t="str">
        <x:v>TU-001</x:v>
      </x:c>
      <x:c r="C2" s="42" t="n">
        <x:v>46190</x:v>
      </x:c>
      <x:c r="D2" s="41" t="str">
        <x:v>Hari Libur</x:v>
      </x:c>
      <x:c r="E2" s="41" t="str">
        <x:v>08:00</x:v>
      </x:c>
      <x:c r="F2" s="41" t="str">
        <x:v>12:00</x:v>
      </x:c>
      <x:c r="G2" s="48" t="n">
        <x:v>4</x:v>
      </x:c>
      <x:c r="H2" s="48" t="n">
        <x:v>25000</x:v>
      </x:c>
      <x:c r="I2" s="48" t="n">
        <x:f>IF(J2="Disetujui",G2*H2,0)</x:f>
        <x:v>100000</x:v>
      </x:c>
      <x:c r="J2" s="41" t="str">
        <x:v>Disetujui</x:v>
      </x:c>
      <x:c r="K2" s="41" t="str">
        <x:v>Masuk saat event</x:v>
      </x:c>
      <x:c r="L2" s="41" t="str">
        <x:f>A2&amp;"|"&amp;B2</x:f>
        <x:v>2026-06|TU-001</x:v>
      </x:c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2026-06</x:v>
      </x:c>
      <x:c r="B3" s="41" t="str">
        <x:v>G-001</x:v>
      </x:c>
      <x:c r="C3" s="42" t="n">
        <x:v>46191</x:v>
      </x:c>
      <x:c r="D3" s="41" t="str">
        <x:v>Malam</x:v>
      </x:c>
      <x:c r="E3" s="41" t="str">
        <x:v>15:00</x:v>
      </x:c>
      <x:c r="F3" s="41" t="str">
        <x:v>18:00</x:v>
      </x:c>
      <x:c r="G3" s="48" t="n">
        <x:v>3</x:v>
      </x:c>
      <x:c r="H3" s="48" t="n">
        <x:v>30000</x:v>
      </x:c>
      <x:c r="I3" s="48" t="n">
        <x:f>IF(J3="Disetujui",G3*H3,0)</x:f>
        <x:v>0</x:v>
      </x:c>
      <x:c r="J3" s="41" t="str">
        <x:v>Menunggu</x:v>
      </x:c>
      <x:c r="K3" s="41" t="str">
        <x:v>Belum masuk payroll sampai disetujui</x:v>
      </x:c>
      <x:c r="L3" s="41" t="str">
        <x:f>A3&amp;"|"&amp;B3</x:f>
        <x:v>2026-06|G-001</x:v>
      </x:c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/>
      <x:c r="B4" s="41"/>
      <x:c r="C4" s="42"/>
      <x:c r="D4" s="41"/>
      <x:c r="E4" s="41"/>
      <x:c r="F4" s="41"/>
      <x:c r="G4" s="48"/>
      <x:c r="H4" s="48"/>
      <x:c r="I4" s="48" t="n">
        <x:f>IF(J4="Disetujui",G4*H4,0)</x:f>
        <x:v>0</x:v>
      </x:c>
      <x:c r="J4" s="41"/>
      <x:c r="K4" s="41"/>
      <x:c r="L4" s="41" t="str">
        <x:f>A4&amp;"|"&amp;B4</x:f>
        <x:v>|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/>
      <x:c r="B5" s="41"/>
      <x:c r="C5" s="42"/>
      <x:c r="D5" s="41"/>
      <x:c r="E5" s="41"/>
      <x:c r="F5" s="41"/>
      <x:c r="G5" s="48"/>
      <x:c r="H5" s="48"/>
      <x:c r="I5" s="48" t="n">
        <x:f>IF(J5="Disetujui",G5*H5,0)</x:f>
        <x:v>0</x:v>
      </x:c>
      <x:c r="J5" s="41"/>
      <x:c r="K5" s="41"/>
      <x:c r="L5" s="41" t="str">
        <x:f>A5&amp;"|"&amp;B5</x:f>
        <x:v>|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/>
      <x:c r="B6" s="41"/>
      <x:c r="C6" s="42"/>
      <x:c r="D6" s="41"/>
      <x:c r="E6" s="41"/>
      <x:c r="F6" s="41"/>
      <x:c r="G6" s="48"/>
      <x:c r="H6" s="48"/>
      <x:c r="I6" s="48" t="n">
        <x:f>IF(J6="Disetujui",G6*H6,0)</x:f>
        <x:v>0</x:v>
      </x:c>
      <x:c r="J6" s="41"/>
      <x:c r="K6" s="41"/>
      <x:c r="L6" s="41" t="str">
        <x:f>A6&amp;"|"&amp;B6</x:f>
        <x:v>|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/>
      <x:c r="B7" s="41"/>
      <x:c r="C7" s="42"/>
      <x:c r="D7" s="41"/>
      <x:c r="E7" s="41"/>
      <x:c r="F7" s="41"/>
      <x:c r="G7" s="48"/>
      <x:c r="H7" s="48"/>
      <x:c r="I7" s="48" t="n">
        <x:f>IF(J7="Disetujui",G7*H7,0)</x:f>
        <x:v>0</x:v>
      </x:c>
      <x:c r="J7" s="41"/>
      <x:c r="K7" s="41"/>
      <x:c r="L7" s="41" t="str">
        <x:f>A7&amp;"|"&amp;B7</x:f>
        <x:v>|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/>
      <x:c r="B8" s="41"/>
      <x:c r="C8" s="42"/>
      <x:c r="D8" s="41"/>
      <x:c r="E8" s="41"/>
      <x:c r="F8" s="41"/>
      <x:c r="G8" s="48"/>
      <x:c r="H8" s="48"/>
      <x:c r="I8" s="48" t="n">
        <x:f>IF(J8="Disetujui",G8*H8,0)</x:f>
        <x:v>0</x:v>
      </x:c>
      <x:c r="J8" s="41"/>
      <x:c r="K8" s="41"/>
      <x:c r="L8" s="41" t="str">
        <x:f>A8&amp;"|"&amp;B8</x:f>
        <x:v>|</x:v>
      </x:c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2"/>
      <x:c r="D9" s="41"/>
      <x:c r="E9" s="41"/>
      <x:c r="F9" s="41"/>
      <x:c r="G9" s="48"/>
      <x:c r="H9" s="48"/>
      <x:c r="I9" s="48" t="n">
        <x:f>IF(J9="Disetujui",G9*H9,0)</x:f>
        <x:v>0</x:v>
      </x:c>
      <x:c r="J9" s="41"/>
      <x:c r="K9" s="41"/>
      <x:c r="L9" s="41" t="str">
        <x:f>A9&amp;"|"&amp;B9</x:f>
        <x:v>|</x:v>
      </x:c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2"/>
      <x:c r="D10" s="41"/>
      <x:c r="E10" s="41"/>
      <x:c r="F10" s="41"/>
      <x:c r="G10" s="48"/>
      <x:c r="H10" s="48"/>
      <x:c r="I10" s="48" t="n">
        <x:f>IF(J10="Disetujui",G10*H10,0)</x:f>
        <x:v>0</x:v>
      </x:c>
      <x:c r="J10" s="41"/>
      <x:c r="K10" s="41"/>
      <x:c r="L10" s="41" t="str">
        <x:f>A10&amp;"|"&amp;B10</x:f>
        <x:v>|</x:v>
      </x:c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2"/>
      <x:c r="D11" s="41"/>
      <x:c r="E11" s="41"/>
      <x:c r="F11" s="41"/>
      <x:c r="G11" s="48"/>
      <x:c r="H11" s="48"/>
      <x:c r="I11" s="48" t="n">
        <x:f>IF(J11="Disetujui",G11*H11,0)</x:f>
        <x:v>0</x:v>
      </x:c>
      <x:c r="J11" s="41"/>
      <x:c r="K11" s="41"/>
      <x:c r="L11" s="41" t="str">
        <x:f>A11&amp;"|"&amp;B11</x:f>
        <x:v>|</x:v>
      </x:c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2"/>
      <x:c r="D12" s="41"/>
      <x:c r="E12" s="41"/>
      <x:c r="F12" s="41"/>
      <x:c r="G12" s="48"/>
      <x:c r="H12" s="48"/>
      <x:c r="I12" s="48" t="n">
        <x:f>IF(J12="Disetujui",G12*H12,0)</x:f>
        <x:v>0</x:v>
      </x:c>
      <x:c r="J12" s="41"/>
      <x:c r="K12" s="41"/>
      <x:c r="L12" s="41" t="str">
        <x:f>A12&amp;"|"&amp;B12</x:f>
        <x:v>|</x:v>
      </x:c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2"/>
      <x:c r="D13" s="41"/>
      <x:c r="E13" s="41"/>
      <x:c r="F13" s="41"/>
      <x:c r="G13" s="48"/>
      <x:c r="H13" s="48"/>
      <x:c r="I13" s="48" t="n">
        <x:f>IF(J13="Disetujui",G13*H13,0)</x:f>
        <x:v>0</x:v>
      </x:c>
      <x:c r="J13" s="41"/>
      <x:c r="K13" s="41"/>
      <x:c r="L13" s="41" t="str">
        <x:f>A13&amp;"|"&amp;B13</x:f>
        <x:v>|</x:v>
      </x:c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2"/>
      <x:c r="D14" s="41"/>
      <x:c r="E14" s="41"/>
      <x:c r="F14" s="41"/>
      <x:c r="G14" s="48"/>
      <x:c r="H14" s="48"/>
      <x:c r="I14" s="48" t="n">
        <x:f>IF(J14="Disetujui",G14*H14,0)</x:f>
        <x:v>0</x:v>
      </x:c>
      <x:c r="J14" s="41"/>
      <x:c r="K14" s="41"/>
      <x:c r="L14" s="41" t="str">
        <x:f>A14&amp;"|"&amp;B14</x:f>
        <x:v>|</x:v>
      </x:c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2"/>
      <x:c r="D15" s="41"/>
      <x:c r="E15" s="41"/>
      <x:c r="F15" s="41"/>
      <x:c r="G15" s="48"/>
      <x:c r="H15" s="48"/>
      <x:c r="I15" s="48" t="n">
        <x:f>IF(J15="Disetujui",G15*H15,0)</x:f>
        <x:v>0</x:v>
      </x:c>
      <x:c r="J15" s="41"/>
      <x:c r="K15" s="41"/>
      <x:c r="L15" s="41" t="str">
        <x:f>A15&amp;"|"&amp;B15</x:f>
        <x:v>|</x:v>
      </x:c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2"/>
      <x:c r="D16" s="41"/>
      <x:c r="E16" s="41"/>
      <x:c r="F16" s="41"/>
      <x:c r="G16" s="48"/>
      <x:c r="H16" s="48"/>
      <x:c r="I16" s="48" t="n">
        <x:f>IF(J16="Disetujui",G16*H16,0)</x:f>
        <x:v>0</x:v>
      </x:c>
      <x:c r="J16" s="41"/>
      <x:c r="K16" s="41"/>
      <x:c r="L16" s="41" t="str">
        <x:f>A16&amp;"|"&amp;B16</x:f>
        <x:v>|</x:v>
      </x:c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2"/>
      <x:c r="D17" s="41"/>
      <x:c r="E17" s="41"/>
      <x:c r="F17" s="41"/>
      <x:c r="G17" s="48"/>
      <x:c r="H17" s="48"/>
      <x:c r="I17" s="48" t="n">
        <x:f>IF(J17="Disetujui",G17*H17,0)</x:f>
        <x:v>0</x:v>
      </x:c>
      <x:c r="J17" s="41"/>
      <x:c r="K17" s="41"/>
      <x:c r="L17" s="41" t="str">
        <x:f>A17&amp;"|"&amp;B17</x:f>
        <x:v>|</x:v>
      </x:c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2"/>
      <x:c r="D18" s="41"/>
      <x:c r="E18" s="41"/>
      <x:c r="F18" s="41"/>
      <x:c r="G18" s="48"/>
      <x:c r="H18" s="48"/>
      <x:c r="I18" s="48" t="n">
        <x:f>IF(J18="Disetujui",G18*H18,0)</x:f>
        <x:v>0</x:v>
      </x:c>
      <x:c r="J18" s="41"/>
      <x:c r="K18" s="41"/>
      <x:c r="L18" s="41" t="str">
        <x:f>A18&amp;"|"&amp;B18</x:f>
        <x:v>|</x:v>
      </x:c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2"/>
      <x:c r="D19" s="41"/>
      <x:c r="E19" s="41"/>
      <x:c r="F19" s="41"/>
      <x:c r="G19" s="48"/>
      <x:c r="H19" s="48"/>
      <x:c r="I19" s="48" t="n">
        <x:f>IF(J19="Disetujui",G19*H19,0)</x:f>
        <x:v>0</x:v>
      </x:c>
      <x:c r="J19" s="41"/>
      <x:c r="K19" s="41"/>
      <x:c r="L19" s="41" t="str">
        <x:f>A19&amp;"|"&amp;B19</x:f>
        <x:v>|</x:v>
      </x:c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2"/>
      <x:c r="D20" s="41"/>
      <x:c r="E20" s="41"/>
      <x:c r="F20" s="41"/>
      <x:c r="G20" s="48"/>
      <x:c r="H20" s="48"/>
      <x:c r="I20" s="48" t="n">
        <x:f>IF(J20="Disetujui",G20*H20,0)</x:f>
        <x:v>0</x:v>
      </x:c>
      <x:c r="J20" s="41"/>
      <x:c r="K20" s="41"/>
      <x:c r="L20" s="41" t="str">
        <x:f>A20&amp;"|"&amp;B20</x:f>
        <x:v>|</x:v>
      </x:c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2"/>
      <x:c r="D21" s="41"/>
      <x:c r="E21" s="41"/>
      <x:c r="F21" s="41"/>
      <x:c r="G21" s="48"/>
      <x:c r="H21" s="48"/>
      <x:c r="I21" s="48" t="n">
        <x:f>IF(J21="Disetujui",G21*H21,0)</x:f>
        <x:v>0</x:v>
      </x:c>
      <x:c r="J21" s="41"/>
      <x:c r="K21" s="41"/>
      <x:c r="L21" s="41" t="str">
        <x:f>A21&amp;"|"&amp;B21</x:f>
        <x:v>|</x:v>
      </x:c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2"/>
      <x:c r="D22" s="41"/>
      <x:c r="E22" s="41"/>
      <x:c r="F22" s="41"/>
      <x:c r="G22" s="48"/>
      <x:c r="H22" s="48"/>
      <x:c r="I22" s="48" t="n">
        <x:f>IF(J22="Disetujui",G22*H22,0)</x:f>
        <x:v>0</x:v>
      </x:c>
      <x:c r="J22" s="41"/>
      <x:c r="K22" s="41"/>
      <x:c r="L22" s="41" t="str">
        <x:f>A22&amp;"|"&amp;B22</x:f>
        <x:v>|</x:v>
      </x:c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2"/>
      <x:c r="D23" s="41"/>
      <x:c r="E23" s="41"/>
      <x:c r="F23" s="41"/>
      <x:c r="G23" s="48"/>
      <x:c r="H23" s="48"/>
      <x:c r="I23" s="48" t="n">
        <x:f>IF(J23="Disetujui",G23*H23,0)</x:f>
        <x:v>0</x:v>
      </x:c>
      <x:c r="J23" s="41"/>
      <x:c r="K23" s="41"/>
      <x:c r="L23" s="41" t="str">
        <x:f>A23&amp;"|"&amp;B23</x:f>
        <x:v>|</x:v>
      </x:c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2"/>
      <x:c r="D24" s="41"/>
      <x:c r="E24" s="41"/>
      <x:c r="F24" s="41"/>
      <x:c r="G24" s="48"/>
      <x:c r="H24" s="48"/>
      <x:c r="I24" s="48" t="n">
        <x:f>IF(J24="Disetujui",G24*H24,0)</x:f>
        <x:v>0</x:v>
      </x:c>
      <x:c r="J24" s="41"/>
      <x:c r="K24" s="41"/>
      <x:c r="L24" s="41" t="str">
        <x:f>A24&amp;"|"&amp;B24</x:f>
        <x:v>|</x:v>
      </x:c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2"/>
      <x:c r="D25" s="41"/>
      <x:c r="E25" s="41"/>
      <x:c r="F25" s="41"/>
      <x:c r="G25" s="48"/>
      <x:c r="H25" s="48"/>
      <x:c r="I25" s="48" t="n">
        <x:f>IF(J25="Disetujui",G25*H25,0)</x:f>
        <x:v>0</x:v>
      </x:c>
      <x:c r="J25" s="41"/>
      <x:c r="K25" s="41"/>
      <x:c r="L25" s="41" t="str">
        <x:f>A25&amp;"|"&amp;B25</x:f>
        <x:v>|</x:v>
      </x:c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2"/>
      <x:c r="D26" s="41"/>
      <x:c r="E26" s="41"/>
      <x:c r="F26" s="41"/>
      <x:c r="G26" s="48"/>
      <x:c r="H26" s="48"/>
      <x:c r="I26" s="48" t="n">
        <x:f>IF(J26="Disetujui",G26*H26,0)</x:f>
        <x:v>0</x:v>
      </x:c>
      <x:c r="J26" s="41"/>
      <x:c r="K26" s="41"/>
      <x:c r="L26" s="41" t="str">
        <x:f>A26&amp;"|"&amp;B26</x:f>
        <x:v>|</x:v>
      </x:c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2"/>
      <x:c r="D27" s="41"/>
      <x:c r="E27" s="41"/>
      <x:c r="F27" s="41"/>
      <x:c r="G27" s="48"/>
      <x:c r="H27" s="48"/>
      <x:c r="I27" s="48" t="n">
        <x:f>IF(J27="Disetujui",G27*H27,0)</x:f>
        <x:v>0</x:v>
      </x:c>
      <x:c r="J27" s="41"/>
      <x:c r="K27" s="41"/>
      <x:c r="L27" s="41" t="str">
        <x:f>A27&amp;"|"&amp;B27</x:f>
        <x:v>|</x:v>
      </x:c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2"/>
      <x:c r="D28" s="41"/>
      <x:c r="E28" s="41"/>
      <x:c r="F28" s="41"/>
      <x:c r="G28" s="48"/>
      <x:c r="H28" s="48"/>
      <x:c r="I28" s="48" t="n">
        <x:f>IF(J28="Disetujui",G28*H28,0)</x:f>
        <x:v>0</x:v>
      </x:c>
      <x:c r="J28" s="41"/>
      <x:c r="K28" s="41"/>
      <x:c r="L28" s="41" t="str">
        <x:f>A28&amp;"|"&amp;B28</x:f>
        <x:v>|</x:v>
      </x:c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2"/>
      <x:c r="D29" s="41"/>
      <x:c r="E29" s="41"/>
      <x:c r="F29" s="41"/>
      <x:c r="G29" s="48"/>
      <x:c r="H29" s="48"/>
      <x:c r="I29" s="48" t="n">
        <x:f>IF(J29="Disetujui",G29*H29,0)</x:f>
        <x:v>0</x:v>
      </x:c>
      <x:c r="J29" s="41"/>
      <x:c r="K29" s="41"/>
      <x:c r="L29" s="41" t="str">
        <x:f>A29&amp;"|"&amp;B29</x:f>
        <x:v>|</x:v>
      </x:c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2"/>
      <x:c r="D30" s="41"/>
      <x:c r="E30" s="41"/>
      <x:c r="F30" s="41"/>
      <x:c r="G30" s="48"/>
      <x:c r="H30" s="48"/>
      <x:c r="I30" s="48" t="n">
        <x:f>IF(J30="Disetujui",G30*H30,0)</x:f>
        <x:v>0</x:v>
      </x:c>
      <x:c r="J30" s="41"/>
      <x:c r="K30" s="41"/>
      <x:c r="L30" s="41" t="str">
        <x:f>A30&amp;"|"&amp;B30</x:f>
        <x:v>|</x:v>
      </x:c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2"/>
      <x:c r="D31" s="41"/>
      <x:c r="E31" s="41"/>
      <x:c r="F31" s="41"/>
      <x:c r="G31" s="48"/>
      <x:c r="H31" s="48"/>
      <x:c r="I31" s="48" t="n">
        <x:f>IF(J31="Disetujui",G31*H31,0)</x:f>
        <x:v>0</x:v>
      </x:c>
      <x:c r="J31" s="41"/>
      <x:c r="K31" s="41"/>
      <x:c r="L31" s="41" t="str">
        <x:f>A31&amp;"|"&amp;B31</x:f>
        <x:v>|</x:v>
      </x:c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2"/>
      <x:c r="D32" s="41"/>
      <x:c r="E32" s="41"/>
      <x:c r="F32" s="41"/>
      <x:c r="G32" s="48"/>
      <x:c r="H32" s="48"/>
      <x:c r="I32" s="48" t="n">
        <x:f>IF(J32="Disetujui",G32*H32,0)</x:f>
        <x:v>0</x:v>
      </x:c>
      <x:c r="J32" s="41"/>
      <x:c r="K32" s="41"/>
      <x:c r="L32" s="41" t="str">
        <x:f>A32&amp;"|"&amp;B32</x:f>
        <x:v>|</x:v>
      </x:c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2"/>
      <x:c r="D33" s="41"/>
      <x:c r="E33" s="41"/>
      <x:c r="F33" s="41"/>
      <x:c r="G33" s="48"/>
      <x:c r="H33" s="48"/>
      <x:c r="I33" s="48" t="n">
        <x:f>IF(J33="Disetujui",G33*H33,0)</x:f>
        <x:v>0</x:v>
      </x:c>
      <x:c r="J33" s="41"/>
      <x:c r="K33" s="41"/>
      <x:c r="L33" s="41" t="str">
        <x:f>A33&amp;"|"&amp;B33</x:f>
        <x:v>|</x:v>
      </x:c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2"/>
      <x:c r="D34" s="41"/>
      <x:c r="E34" s="41"/>
      <x:c r="F34" s="41"/>
      <x:c r="G34" s="48"/>
      <x:c r="H34" s="48"/>
      <x:c r="I34" s="48" t="n">
        <x:f>IF(J34="Disetujui",G34*H34,0)</x:f>
        <x:v>0</x:v>
      </x:c>
      <x:c r="J34" s="41"/>
      <x:c r="K34" s="41"/>
      <x:c r="L34" s="41" t="str">
        <x:f>A34&amp;"|"&amp;B34</x:f>
        <x:v>|</x:v>
      </x:c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2"/>
      <x:c r="D35" s="41"/>
      <x:c r="E35" s="41"/>
      <x:c r="F35" s="41"/>
      <x:c r="G35" s="48"/>
      <x:c r="H35" s="48"/>
      <x:c r="I35" s="48" t="n">
        <x:f>IF(J35="Disetujui",G35*H35,0)</x:f>
        <x:v>0</x:v>
      </x:c>
      <x:c r="J35" s="41"/>
      <x:c r="K35" s="41"/>
      <x:c r="L35" s="41" t="str">
        <x:f>A35&amp;"|"&amp;B35</x:f>
        <x:v>|</x:v>
      </x:c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2"/>
      <x:c r="D36" s="41"/>
      <x:c r="E36" s="41"/>
      <x:c r="F36" s="41"/>
      <x:c r="G36" s="48"/>
      <x:c r="H36" s="48"/>
      <x:c r="I36" s="48" t="n">
        <x:f>IF(J36="Disetujui",G36*H36,0)</x:f>
        <x:v>0</x:v>
      </x:c>
      <x:c r="J36" s="41"/>
      <x:c r="K36" s="41"/>
      <x:c r="L36" s="41" t="str">
        <x:f>A36&amp;"|"&amp;B36</x:f>
        <x:v>|</x:v>
      </x:c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2"/>
      <x:c r="D37" s="41"/>
      <x:c r="E37" s="41"/>
      <x:c r="F37" s="41"/>
      <x:c r="G37" s="48"/>
      <x:c r="H37" s="48"/>
      <x:c r="I37" s="48" t="n">
        <x:f>IF(J37="Disetujui",G37*H37,0)</x:f>
        <x:v>0</x:v>
      </x:c>
      <x:c r="J37" s="41"/>
      <x:c r="K37" s="41"/>
      <x:c r="L37" s="41" t="str">
        <x:f>A37&amp;"|"&amp;B37</x:f>
        <x:v>|</x:v>
      </x:c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2"/>
      <x:c r="D38" s="41"/>
      <x:c r="E38" s="41"/>
      <x:c r="F38" s="41"/>
      <x:c r="G38" s="48"/>
      <x:c r="H38" s="48"/>
      <x:c r="I38" s="48" t="n">
        <x:f>IF(J38="Disetujui",G38*H38,0)</x:f>
        <x:v>0</x:v>
      </x:c>
      <x:c r="J38" s="41"/>
      <x:c r="K38" s="41"/>
      <x:c r="L38" s="41" t="str">
        <x:f>A38&amp;"|"&amp;B38</x:f>
        <x:v>|</x:v>
      </x:c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2"/>
      <x:c r="D39" s="41"/>
      <x:c r="E39" s="41"/>
      <x:c r="F39" s="41"/>
      <x:c r="G39" s="48"/>
      <x:c r="H39" s="48"/>
      <x:c r="I39" s="48" t="n">
        <x:f>IF(J39="Disetujui",G39*H39,0)</x:f>
        <x:v>0</x:v>
      </x:c>
      <x:c r="J39" s="41"/>
      <x:c r="K39" s="41"/>
      <x:c r="L39" s="41" t="str">
        <x:f>A39&amp;"|"&amp;B39</x:f>
        <x:v>|</x:v>
      </x:c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2"/>
      <x:c r="D40" s="41"/>
      <x:c r="E40" s="41"/>
      <x:c r="F40" s="41"/>
      <x:c r="G40" s="48"/>
      <x:c r="H40" s="48"/>
      <x:c r="I40" s="48" t="n">
        <x:f>IF(J40="Disetujui",G40*H40,0)</x:f>
        <x:v>0</x:v>
      </x:c>
      <x:c r="J40" s="41"/>
      <x:c r="K40" s="41"/>
      <x:c r="L40" s="41" t="str">
        <x:f>A40&amp;"|"&amp;B40</x:f>
        <x:v>|</x:v>
      </x:c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2"/>
      <x:c r="D41" s="41"/>
      <x:c r="E41" s="41"/>
      <x:c r="F41" s="41"/>
      <x:c r="G41" s="48"/>
      <x:c r="H41" s="48"/>
      <x:c r="I41" s="48" t="n">
        <x:f>IF(J41="Disetujui",G41*H41,0)</x:f>
        <x:v>0</x:v>
      </x:c>
      <x:c r="J41" s="41"/>
      <x:c r="K41" s="41"/>
      <x:c r="L41" s="41" t="str">
        <x:f>A41&amp;"|"&amp;B41</x:f>
        <x:v>|</x:v>
      </x:c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2"/>
      <x:c r="D42" s="41"/>
      <x:c r="E42" s="41"/>
      <x:c r="F42" s="41"/>
      <x:c r="G42" s="48"/>
      <x:c r="H42" s="48"/>
      <x:c r="I42" s="48" t="n">
        <x:f>IF(J42="Disetujui",G42*H42,0)</x:f>
        <x:v>0</x:v>
      </x:c>
      <x:c r="J42" s="41"/>
      <x:c r="K42" s="41"/>
      <x:c r="L42" s="41" t="str">
        <x:f>A42&amp;"|"&amp;B42</x:f>
        <x:v>|</x:v>
      </x:c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2"/>
      <x:c r="D43" s="41"/>
      <x:c r="E43" s="41"/>
      <x:c r="F43" s="41"/>
      <x:c r="G43" s="48"/>
      <x:c r="H43" s="48"/>
      <x:c r="I43" s="48" t="n">
        <x:f>IF(J43="Disetujui",G43*H43,0)</x:f>
        <x:v>0</x:v>
      </x:c>
      <x:c r="J43" s="41"/>
      <x:c r="K43" s="41"/>
      <x:c r="L43" s="41" t="str">
        <x:f>A43&amp;"|"&amp;B43</x:f>
        <x:v>|</x:v>
      </x:c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2"/>
      <x:c r="D44" s="41"/>
      <x:c r="E44" s="41"/>
      <x:c r="F44" s="41"/>
      <x:c r="G44" s="48"/>
      <x:c r="H44" s="48"/>
      <x:c r="I44" s="48" t="n">
        <x:f>IF(J44="Disetujui",G44*H44,0)</x:f>
        <x:v>0</x:v>
      </x:c>
      <x:c r="J44" s="41"/>
      <x:c r="K44" s="41"/>
      <x:c r="L44" s="41" t="str">
        <x:f>A44&amp;"|"&amp;B44</x:f>
        <x:v>|</x:v>
      </x:c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2"/>
      <x:c r="D45" s="41"/>
      <x:c r="E45" s="41"/>
      <x:c r="F45" s="41"/>
      <x:c r="G45" s="48"/>
      <x:c r="H45" s="48"/>
      <x:c r="I45" s="48" t="n">
        <x:f>IF(J45="Disetujui",G45*H45,0)</x:f>
        <x:v>0</x:v>
      </x:c>
      <x:c r="J45" s="41"/>
      <x:c r="K45" s="41"/>
      <x:c r="L45" s="41" t="str">
        <x:f>A45&amp;"|"&amp;B45</x:f>
        <x:v>|</x:v>
      </x:c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2"/>
      <x:c r="D46" s="41"/>
      <x:c r="E46" s="41"/>
      <x:c r="F46" s="41"/>
      <x:c r="G46" s="48"/>
      <x:c r="H46" s="48"/>
      <x:c r="I46" s="48" t="n">
        <x:f>IF(J46="Disetujui",G46*H46,0)</x:f>
        <x:v>0</x:v>
      </x:c>
      <x:c r="J46" s="41"/>
      <x:c r="K46" s="41"/>
      <x:c r="L46" s="41" t="str">
        <x:f>A46&amp;"|"&amp;B46</x:f>
        <x:v>|</x:v>
      </x:c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2"/>
      <x:c r="D47" s="41"/>
      <x:c r="E47" s="41"/>
      <x:c r="F47" s="41"/>
      <x:c r="G47" s="48"/>
      <x:c r="H47" s="48"/>
      <x:c r="I47" s="48" t="n">
        <x:f>IF(J47="Disetujui",G47*H47,0)</x:f>
        <x:v>0</x:v>
      </x:c>
      <x:c r="J47" s="41"/>
      <x:c r="K47" s="41"/>
      <x:c r="L47" s="41" t="str">
        <x:f>A47&amp;"|"&amp;B47</x:f>
        <x:v>|</x:v>
      </x:c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2"/>
      <x:c r="D48" s="41"/>
      <x:c r="E48" s="41"/>
      <x:c r="F48" s="41"/>
      <x:c r="G48" s="48"/>
      <x:c r="H48" s="48"/>
      <x:c r="I48" s="48" t="n">
        <x:f>IF(J48="Disetujui",G48*H48,0)</x:f>
        <x:v>0</x:v>
      </x:c>
      <x:c r="J48" s="41"/>
      <x:c r="K48" s="41"/>
      <x:c r="L48" s="41" t="str">
        <x:f>A48&amp;"|"&amp;B48</x:f>
        <x:v>|</x:v>
      </x:c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2"/>
      <x:c r="D49" s="41"/>
      <x:c r="E49" s="41"/>
      <x:c r="F49" s="41"/>
      <x:c r="G49" s="48"/>
      <x:c r="H49" s="48"/>
      <x:c r="I49" s="48" t="n">
        <x:f>IF(J49="Disetujui",G49*H49,0)</x:f>
        <x:v>0</x:v>
      </x:c>
      <x:c r="J49" s="41"/>
      <x:c r="K49" s="41"/>
      <x:c r="L49" s="41" t="str">
        <x:f>A49&amp;"|"&amp;B49</x:f>
        <x:v>|</x:v>
      </x:c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2"/>
      <x:c r="D50" s="41"/>
      <x:c r="E50" s="41"/>
      <x:c r="F50" s="41"/>
      <x:c r="G50" s="48"/>
      <x:c r="H50" s="48"/>
      <x:c r="I50" s="48" t="n">
        <x:f>IF(J50="Disetujui",G50*H50,0)</x:f>
        <x:v>0</x:v>
      </x:c>
      <x:c r="J50" s="41"/>
      <x:c r="K50" s="41"/>
      <x:c r="L50" s="41" t="str">
        <x:f>A50&amp;"|"&amp;B50</x:f>
        <x:v>|</x:v>
      </x:c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2"/>
      <x:c r="D51" s="41"/>
      <x:c r="E51" s="41"/>
      <x:c r="F51" s="41"/>
      <x:c r="G51" s="48"/>
      <x:c r="H51" s="48"/>
      <x:c r="I51" s="48" t="n">
        <x:f>IF(J51="Disetujui",G51*H51,0)</x:f>
        <x:v>0</x:v>
      </x:c>
      <x:c r="J51" s="41"/>
      <x:c r="K51" s="41"/>
      <x:c r="L51" s="41" t="str">
        <x:f>A51&amp;"|"&amp;B51</x:f>
        <x:v>|</x:v>
      </x:c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2"/>
      <x:c r="D52" s="41"/>
      <x:c r="E52" s="41"/>
      <x:c r="F52" s="41"/>
      <x:c r="G52" s="48"/>
      <x:c r="H52" s="48"/>
      <x:c r="I52" s="48" t="n">
        <x:f>IF(J52="Disetujui",G52*H52,0)</x:f>
        <x:v>0</x:v>
      </x:c>
      <x:c r="J52" s="41"/>
      <x:c r="K52" s="41"/>
      <x:c r="L52" s="41" t="str">
        <x:f>A52&amp;"|"&amp;B52</x:f>
        <x:v>|</x:v>
      </x:c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2"/>
      <x:c r="D53" s="41"/>
      <x:c r="E53" s="41"/>
      <x:c r="F53" s="41"/>
      <x:c r="G53" s="48"/>
      <x:c r="H53" s="48"/>
      <x:c r="I53" s="48" t="n">
        <x:f>IF(J53="Disetujui",G53*H53,0)</x:f>
        <x:v>0</x:v>
      </x:c>
      <x:c r="J53" s="41"/>
      <x:c r="K53" s="41"/>
      <x:c r="L53" s="41" t="str">
        <x:f>A53&amp;"|"&amp;B53</x:f>
        <x:v>|</x:v>
      </x:c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2"/>
      <x:c r="D54" s="41"/>
      <x:c r="E54" s="41"/>
      <x:c r="F54" s="41"/>
      <x:c r="G54" s="48"/>
      <x:c r="H54" s="48"/>
      <x:c r="I54" s="48" t="n">
        <x:f>IF(J54="Disetujui",G54*H54,0)</x:f>
        <x:v>0</x:v>
      </x:c>
      <x:c r="J54" s="41"/>
      <x:c r="K54" s="41"/>
      <x:c r="L54" s="41" t="str">
        <x:f>A54&amp;"|"&amp;B54</x:f>
        <x:v>|</x:v>
      </x:c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2"/>
      <x:c r="D55" s="41"/>
      <x:c r="E55" s="41"/>
      <x:c r="F55" s="41"/>
      <x:c r="G55" s="48"/>
      <x:c r="H55" s="48"/>
      <x:c r="I55" s="48" t="n">
        <x:f>IF(J55="Disetujui",G55*H55,0)</x:f>
        <x:v>0</x:v>
      </x:c>
      <x:c r="J55" s="41"/>
      <x:c r="K55" s="41"/>
      <x:c r="L55" s="41" t="str">
        <x:f>A55&amp;"|"&amp;B55</x:f>
        <x:v>|</x:v>
      </x:c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2"/>
      <x:c r="D56" s="41"/>
      <x:c r="E56" s="41"/>
      <x:c r="F56" s="41"/>
      <x:c r="G56" s="48"/>
      <x:c r="H56" s="48"/>
      <x:c r="I56" s="48" t="n">
        <x:f>IF(J56="Disetujui",G56*H56,0)</x:f>
        <x:v>0</x:v>
      </x:c>
      <x:c r="J56" s="41"/>
      <x:c r="K56" s="41"/>
      <x:c r="L56" s="41" t="str">
        <x:f>A56&amp;"|"&amp;B56</x:f>
        <x:v>|</x:v>
      </x:c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2"/>
      <x:c r="D57" s="41"/>
      <x:c r="E57" s="41"/>
      <x:c r="F57" s="41"/>
      <x:c r="G57" s="48"/>
      <x:c r="H57" s="48"/>
      <x:c r="I57" s="48" t="n">
        <x:f>IF(J57="Disetujui",G57*H57,0)</x:f>
        <x:v>0</x:v>
      </x:c>
      <x:c r="J57" s="41"/>
      <x:c r="K57" s="41"/>
      <x:c r="L57" s="41" t="str">
        <x:f>A57&amp;"|"&amp;B57</x:f>
        <x:v>|</x:v>
      </x:c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2"/>
      <x:c r="D58" s="41"/>
      <x:c r="E58" s="41"/>
      <x:c r="F58" s="41"/>
      <x:c r="G58" s="48"/>
      <x:c r="H58" s="48"/>
      <x:c r="I58" s="48" t="n">
        <x:f>IF(J58="Disetujui",G58*H58,0)</x:f>
        <x:v>0</x:v>
      </x:c>
      <x:c r="J58" s="41"/>
      <x:c r="K58" s="41"/>
      <x:c r="L58" s="41" t="str">
        <x:f>A58&amp;"|"&amp;B58</x:f>
        <x:v>|</x:v>
      </x:c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2"/>
      <x:c r="D59" s="41"/>
      <x:c r="E59" s="41"/>
      <x:c r="F59" s="41"/>
      <x:c r="G59" s="48"/>
      <x:c r="H59" s="48"/>
      <x:c r="I59" s="48" t="n">
        <x:f>IF(J59="Disetujui",G59*H59,0)</x:f>
        <x:v>0</x:v>
      </x:c>
      <x:c r="J59" s="41"/>
      <x:c r="K59" s="41"/>
      <x:c r="L59" s="41" t="str">
        <x:f>A59&amp;"|"&amp;B59</x:f>
        <x:v>|</x:v>
      </x:c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2"/>
      <x:c r="D60" s="41"/>
      <x:c r="E60" s="41"/>
      <x:c r="F60" s="41"/>
      <x:c r="G60" s="48"/>
      <x:c r="H60" s="48"/>
      <x:c r="I60" s="48" t="n">
        <x:f>IF(J60="Disetujui",G60*H60,0)</x:f>
        <x:v>0</x:v>
      </x:c>
      <x:c r="J60" s="41"/>
      <x:c r="K60" s="41"/>
      <x:c r="L60" s="41" t="str">
        <x:f>A60&amp;"|"&amp;B60</x:f>
        <x:v>|</x:v>
      </x:c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2"/>
      <x:c r="D61" s="41"/>
      <x:c r="E61" s="41"/>
      <x:c r="F61" s="41"/>
      <x:c r="G61" s="48"/>
      <x:c r="H61" s="48"/>
      <x:c r="I61" s="48" t="n">
        <x:f>IF(J61="Disetujui",G61*H61,0)</x:f>
        <x:v>0</x:v>
      </x:c>
      <x:c r="J61" s="41"/>
      <x:c r="K61" s="41"/>
      <x:c r="L61" s="41" t="str">
        <x:f>A61&amp;"|"&amp;B61</x:f>
        <x:v>|</x:v>
      </x:c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2"/>
      <x:c r="D62" s="41"/>
      <x:c r="E62" s="41"/>
      <x:c r="F62" s="41"/>
      <x:c r="G62" s="48"/>
      <x:c r="H62" s="48"/>
      <x:c r="I62" s="48" t="n">
        <x:f>IF(J62="Disetujui",G62*H62,0)</x:f>
        <x:v>0</x:v>
      </x:c>
      <x:c r="J62" s="41"/>
      <x:c r="K62" s="41"/>
      <x:c r="L62" s="41" t="str">
        <x:f>A62&amp;"|"&amp;B62</x:f>
        <x:v>|</x:v>
      </x:c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2"/>
      <x:c r="D63" s="41"/>
      <x:c r="E63" s="41"/>
      <x:c r="F63" s="41"/>
      <x:c r="G63" s="48"/>
      <x:c r="H63" s="48"/>
      <x:c r="I63" s="48" t="n">
        <x:f>IF(J63="Disetujui",G63*H63,0)</x:f>
        <x:v>0</x:v>
      </x:c>
      <x:c r="J63" s="41"/>
      <x:c r="K63" s="41"/>
      <x:c r="L63" s="41" t="str">
        <x:f>A63&amp;"|"&amp;B63</x:f>
        <x:v>|</x:v>
      </x:c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2"/>
      <x:c r="D64" s="41"/>
      <x:c r="E64" s="41"/>
      <x:c r="F64" s="41"/>
      <x:c r="G64" s="48"/>
      <x:c r="H64" s="48"/>
      <x:c r="I64" s="48" t="n">
        <x:f>IF(J64="Disetujui",G64*H64,0)</x:f>
        <x:v>0</x:v>
      </x:c>
      <x:c r="J64" s="41"/>
      <x:c r="K64" s="41"/>
      <x:c r="L64" s="41" t="str">
        <x:f>A64&amp;"|"&amp;B64</x:f>
        <x:v>|</x:v>
      </x:c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2"/>
      <x:c r="D65" s="41"/>
      <x:c r="E65" s="41"/>
      <x:c r="F65" s="41"/>
      <x:c r="G65" s="48"/>
      <x:c r="H65" s="48"/>
      <x:c r="I65" s="48" t="n">
        <x:f>IF(J65="Disetujui",G65*H65,0)</x:f>
        <x:v>0</x:v>
      </x:c>
      <x:c r="J65" s="41"/>
      <x:c r="K65" s="41"/>
      <x:c r="L65" s="41" t="str">
        <x:f>A65&amp;"|"&amp;B65</x:f>
        <x:v>|</x:v>
      </x:c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2"/>
      <x:c r="D66" s="41"/>
      <x:c r="E66" s="41"/>
      <x:c r="F66" s="41"/>
      <x:c r="G66" s="48"/>
      <x:c r="H66" s="48"/>
      <x:c r="I66" s="48" t="n">
        <x:f>IF(J66="Disetujui",G66*H66,0)</x:f>
        <x:v>0</x:v>
      </x:c>
      <x:c r="J66" s="41"/>
      <x:c r="K66" s="41"/>
      <x:c r="L66" s="41" t="str">
        <x:f>A66&amp;"|"&amp;B66</x:f>
        <x:v>|</x:v>
      </x:c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2"/>
      <x:c r="D67" s="41"/>
      <x:c r="E67" s="41"/>
      <x:c r="F67" s="41"/>
      <x:c r="G67" s="48"/>
      <x:c r="H67" s="48"/>
      <x:c r="I67" s="48" t="n">
        <x:f>IF(J67="Disetujui",G67*H67,0)</x:f>
        <x:v>0</x:v>
      </x:c>
      <x:c r="J67" s="41"/>
      <x:c r="K67" s="41"/>
      <x:c r="L67" s="41" t="str">
        <x:f>A67&amp;"|"&amp;B67</x:f>
        <x:v>|</x:v>
      </x:c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2"/>
      <x:c r="D68" s="41"/>
      <x:c r="E68" s="41"/>
      <x:c r="F68" s="41"/>
      <x:c r="G68" s="48"/>
      <x:c r="H68" s="48"/>
      <x:c r="I68" s="48" t="n">
        <x:f>IF(J68="Disetujui",G68*H68,0)</x:f>
        <x:v>0</x:v>
      </x:c>
      <x:c r="J68" s="41"/>
      <x:c r="K68" s="41"/>
      <x:c r="L68" s="41" t="str">
        <x:f>A68&amp;"|"&amp;B68</x:f>
        <x:v>|</x:v>
      </x:c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2"/>
      <x:c r="D69" s="41"/>
      <x:c r="E69" s="41"/>
      <x:c r="F69" s="41"/>
      <x:c r="G69" s="48"/>
      <x:c r="H69" s="48"/>
      <x:c r="I69" s="48" t="n">
        <x:f>IF(J69="Disetujui",G69*H69,0)</x:f>
        <x:v>0</x:v>
      </x:c>
      <x:c r="J69" s="41"/>
      <x:c r="K69" s="41"/>
      <x:c r="L69" s="41" t="str">
        <x:f>A69&amp;"|"&amp;B69</x:f>
        <x:v>|</x:v>
      </x:c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2"/>
      <x:c r="D70" s="41"/>
      <x:c r="E70" s="41"/>
      <x:c r="F70" s="41"/>
      <x:c r="G70" s="48"/>
      <x:c r="H70" s="48"/>
      <x:c r="I70" s="48" t="n">
        <x:f>IF(J70="Disetujui",G70*H70,0)</x:f>
        <x:v>0</x:v>
      </x:c>
      <x:c r="J70" s="41"/>
      <x:c r="K70" s="41"/>
      <x:c r="L70" s="41" t="str">
        <x:f>A70&amp;"|"&amp;B70</x:f>
        <x:v>|</x:v>
      </x:c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2"/>
      <x:c r="D71" s="41"/>
      <x:c r="E71" s="41"/>
      <x:c r="F71" s="41"/>
      <x:c r="G71" s="48"/>
      <x:c r="H71" s="48"/>
      <x:c r="I71" s="48" t="n">
        <x:f>IF(J71="Disetujui",G71*H71,0)</x:f>
        <x:v>0</x:v>
      </x:c>
      <x:c r="J71" s="41"/>
      <x:c r="K71" s="41"/>
      <x:c r="L71" s="41" t="str">
        <x:f>A71&amp;"|"&amp;B71</x:f>
        <x:v>|</x:v>
      </x:c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2"/>
      <x:c r="D72" s="41"/>
      <x:c r="E72" s="41"/>
      <x:c r="F72" s="41"/>
      <x:c r="G72" s="48"/>
      <x:c r="H72" s="48"/>
      <x:c r="I72" s="48" t="n">
        <x:f>IF(J72="Disetujui",G72*H72,0)</x:f>
        <x:v>0</x:v>
      </x:c>
      <x:c r="J72" s="41"/>
      <x:c r="K72" s="41"/>
      <x:c r="L72" s="41" t="str">
        <x:f>A72&amp;"|"&amp;B72</x:f>
        <x:v>|</x:v>
      </x:c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2"/>
      <x:c r="D73" s="41"/>
      <x:c r="E73" s="41"/>
      <x:c r="F73" s="41"/>
      <x:c r="G73" s="48"/>
      <x:c r="H73" s="48"/>
      <x:c r="I73" s="48" t="n">
        <x:f>IF(J73="Disetujui",G73*H73,0)</x:f>
        <x:v>0</x:v>
      </x:c>
      <x:c r="J73" s="41"/>
      <x:c r="K73" s="41"/>
      <x:c r="L73" s="41" t="str">
        <x:f>A73&amp;"|"&amp;B73</x:f>
        <x:v>|</x:v>
      </x:c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2"/>
      <x:c r="D74" s="41"/>
      <x:c r="E74" s="41"/>
      <x:c r="F74" s="41"/>
      <x:c r="G74" s="48"/>
      <x:c r="H74" s="48"/>
      <x:c r="I74" s="48" t="n">
        <x:f>IF(J74="Disetujui",G74*H74,0)</x:f>
        <x:v>0</x:v>
      </x:c>
      <x:c r="J74" s="41"/>
      <x:c r="K74" s="41"/>
      <x:c r="L74" s="41" t="str">
        <x:f>A74&amp;"|"&amp;B74</x:f>
        <x:v>|</x:v>
      </x:c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2"/>
      <x:c r="D75" s="41"/>
      <x:c r="E75" s="41"/>
      <x:c r="F75" s="41"/>
      <x:c r="G75" s="48"/>
      <x:c r="H75" s="48"/>
      <x:c r="I75" s="48" t="n">
        <x:f>IF(J75="Disetujui",G75*H75,0)</x:f>
        <x:v>0</x:v>
      </x:c>
      <x:c r="J75" s="41"/>
      <x:c r="K75" s="41"/>
      <x:c r="L75" s="41" t="str">
        <x:f>A75&amp;"|"&amp;B75</x:f>
        <x:v>|</x:v>
      </x:c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2"/>
      <x:c r="D76" s="41"/>
      <x:c r="E76" s="41"/>
      <x:c r="F76" s="41"/>
      <x:c r="G76" s="48"/>
      <x:c r="H76" s="48"/>
      <x:c r="I76" s="48" t="n">
        <x:f>IF(J76="Disetujui",G76*H76,0)</x:f>
        <x:v>0</x:v>
      </x:c>
      <x:c r="J76" s="41"/>
      <x:c r="K76" s="41"/>
      <x:c r="L76" s="41" t="str">
        <x:f>A76&amp;"|"&amp;B76</x:f>
        <x:v>|</x:v>
      </x:c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2"/>
      <x:c r="D77" s="41"/>
      <x:c r="E77" s="41"/>
      <x:c r="F77" s="41"/>
      <x:c r="G77" s="48"/>
      <x:c r="H77" s="48"/>
      <x:c r="I77" s="48" t="n">
        <x:f>IF(J77="Disetujui",G77*H77,0)</x:f>
        <x:v>0</x:v>
      </x:c>
      <x:c r="J77" s="41"/>
      <x:c r="K77" s="41"/>
      <x:c r="L77" s="41" t="str">
        <x:f>A77&amp;"|"&amp;B77</x:f>
        <x:v>|</x:v>
      </x:c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2"/>
      <x:c r="D78" s="41"/>
      <x:c r="E78" s="41"/>
      <x:c r="F78" s="41"/>
      <x:c r="G78" s="48"/>
      <x:c r="H78" s="48"/>
      <x:c r="I78" s="48" t="n">
        <x:f>IF(J78="Disetujui",G78*H78,0)</x:f>
        <x:v>0</x:v>
      </x:c>
      <x:c r="J78" s="41"/>
      <x:c r="K78" s="41"/>
      <x:c r="L78" s="41" t="str">
        <x:f>A78&amp;"|"&amp;B78</x:f>
        <x:v>|</x:v>
      </x:c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2"/>
      <x:c r="D79" s="41"/>
      <x:c r="E79" s="41"/>
      <x:c r="F79" s="41"/>
      <x:c r="G79" s="48"/>
      <x:c r="H79" s="48"/>
      <x:c r="I79" s="48" t="n">
        <x:f>IF(J79="Disetujui",G79*H79,0)</x:f>
        <x:v>0</x:v>
      </x:c>
      <x:c r="J79" s="41"/>
      <x:c r="K79" s="41"/>
      <x:c r="L79" s="41" t="str">
        <x:f>A79&amp;"|"&amp;B79</x:f>
        <x:v>|</x:v>
      </x:c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2"/>
      <x:c r="D80" s="41"/>
      <x:c r="E80" s="41"/>
      <x:c r="F80" s="41"/>
      <x:c r="G80" s="48"/>
      <x:c r="H80" s="48"/>
      <x:c r="I80" s="48" t="n">
        <x:f>IF(J80="Disetujui",G80*H80,0)</x:f>
        <x:v>0</x:v>
      </x:c>
      <x:c r="J80" s="41"/>
      <x:c r="K80" s="41"/>
      <x:c r="L80" s="41" t="str">
        <x:f>A80&amp;"|"&amp;B80</x:f>
        <x:v>|</x:v>
      </x:c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2"/>
      <x:c r="D81" s="41"/>
      <x:c r="E81" s="41"/>
      <x:c r="F81" s="41"/>
      <x:c r="G81" s="48"/>
      <x:c r="H81" s="48"/>
      <x:c r="I81" s="48" t="n">
        <x:f>IF(J81="Disetujui",G81*H81,0)</x:f>
        <x:v>0</x:v>
      </x:c>
      <x:c r="J81" s="41"/>
      <x:c r="K81" s="41"/>
      <x:c r="L81" s="41" t="str">
        <x:f>A81&amp;"|"&amp;B81</x:f>
        <x:v>|</x:v>
      </x:c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2"/>
      <x:c r="D82" s="41"/>
      <x:c r="E82" s="41"/>
      <x:c r="F82" s="41"/>
      <x:c r="G82" s="48"/>
      <x:c r="H82" s="48"/>
      <x:c r="I82" s="48" t="n">
        <x:f>IF(J82="Disetujui",G82*H82,0)</x:f>
        <x:v>0</x:v>
      </x:c>
      <x:c r="J82" s="41"/>
      <x:c r="K82" s="41"/>
      <x:c r="L82" s="41" t="str">
        <x:f>A82&amp;"|"&amp;B82</x:f>
        <x:v>|</x:v>
      </x:c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2"/>
      <x:c r="D83" s="41"/>
      <x:c r="E83" s="41"/>
      <x:c r="F83" s="41"/>
      <x:c r="G83" s="48"/>
      <x:c r="H83" s="48"/>
      <x:c r="I83" s="48" t="n">
        <x:f>IF(J83="Disetujui",G83*H83,0)</x:f>
        <x:v>0</x:v>
      </x:c>
      <x:c r="J83" s="41"/>
      <x:c r="K83" s="41"/>
      <x:c r="L83" s="41" t="str">
        <x:f>A83&amp;"|"&amp;B83</x:f>
        <x:v>|</x:v>
      </x:c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2"/>
      <x:c r="D84" s="41"/>
      <x:c r="E84" s="41"/>
      <x:c r="F84" s="41"/>
      <x:c r="G84" s="48"/>
      <x:c r="H84" s="48"/>
      <x:c r="I84" s="48" t="n">
        <x:f>IF(J84="Disetujui",G84*H84,0)</x:f>
        <x:v>0</x:v>
      </x:c>
      <x:c r="J84" s="41"/>
      <x:c r="K84" s="41"/>
      <x:c r="L84" s="41" t="str">
        <x:f>A84&amp;"|"&amp;B84</x:f>
        <x:v>|</x:v>
      </x:c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2"/>
      <x:c r="D85" s="41"/>
      <x:c r="E85" s="41"/>
      <x:c r="F85" s="41"/>
      <x:c r="G85" s="48"/>
      <x:c r="H85" s="48"/>
      <x:c r="I85" s="48" t="n">
        <x:f>IF(J85="Disetujui",G85*H85,0)</x:f>
        <x:v>0</x:v>
      </x:c>
      <x:c r="J85" s="41"/>
      <x:c r="K85" s="41"/>
      <x:c r="L85" s="41" t="str">
        <x:f>A85&amp;"|"&amp;B85</x:f>
        <x:v>|</x:v>
      </x:c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2"/>
      <x:c r="D86" s="41"/>
      <x:c r="E86" s="41"/>
      <x:c r="F86" s="41"/>
      <x:c r="G86" s="48"/>
      <x:c r="H86" s="48"/>
      <x:c r="I86" s="48" t="n">
        <x:f>IF(J86="Disetujui",G86*H86,0)</x:f>
        <x:v>0</x:v>
      </x:c>
      <x:c r="J86" s="41"/>
      <x:c r="K86" s="41"/>
      <x:c r="L86" s="41" t="str">
        <x:f>A86&amp;"|"&amp;B86</x:f>
        <x:v>|</x:v>
      </x:c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2"/>
      <x:c r="D87" s="41"/>
      <x:c r="E87" s="41"/>
      <x:c r="F87" s="41"/>
      <x:c r="G87" s="48"/>
      <x:c r="H87" s="48"/>
      <x:c r="I87" s="48" t="n">
        <x:f>IF(J87="Disetujui",G87*H87,0)</x:f>
        <x:v>0</x:v>
      </x:c>
      <x:c r="J87" s="41"/>
      <x:c r="K87" s="41"/>
      <x:c r="L87" s="41" t="str">
        <x:f>A87&amp;"|"&amp;B87</x:f>
        <x:v>|</x:v>
      </x:c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2"/>
      <x:c r="D88" s="41"/>
      <x:c r="E88" s="41"/>
      <x:c r="F88" s="41"/>
      <x:c r="G88" s="48"/>
      <x:c r="H88" s="48"/>
      <x:c r="I88" s="48" t="n">
        <x:f>IF(J88="Disetujui",G88*H88,0)</x:f>
        <x:v>0</x:v>
      </x:c>
      <x:c r="J88" s="41"/>
      <x:c r="K88" s="41"/>
      <x:c r="L88" s="41" t="str">
        <x:f>A88&amp;"|"&amp;B88</x:f>
        <x:v>|</x:v>
      </x:c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2"/>
      <x:c r="D89" s="41"/>
      <x:c r="E89" s="41"/>
      <x:c r="F89" s="41"/>
      <x:c r="G89" s="48"/>
      <x:c r="H89" s="48"/>
      <x:c r="I89" s="48" t="n">
        <x:f>IF(J89="Disetujui",G89*H89,0)</x:f>
        <x:v>0</x:v>
      </x:c>
      <x:c r="J89" s="41"/>
      <x:c r="K89" s="41"/>
      <x:c r="L89" s="41" t="str">
        <x:f>A89&amp;"|"&amp;B89</x:f>
        <x:v>|</x:v>
      </x:c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2"/>
      <x:c r="D90" s="41"/>
      <x:c r="E90" s="41"/>
      <x:c r="F90" s="41"/>
      <x:c r="G90" s="48"/>
      <x:c r="H90" s="48"/>
      <x:c r="I90" s="48" t="n">
        <x:f>IF(J90="Disetujui",G90*H90,0)</x:f>
        <x:v>0</x:v>
      </x:c>
      <x:c r="J90" s="41"/>
      <x:c r="K90" s="41"/>
      <x:c r="L90" s="41" t="str">
        <x:f>A90&amp;"|"&amp;B90</x:f>
        <x:v>|</x:v>
      </x:c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2"/>
      <x:c r="D91" s="41"/>
      <x:c r="E91" s="41"/>
      <x:c r="F91" s="41"/>
      <x:c r="G91" s="48"/>
      <x:c r="H91" s="48"/>
      <x:c r="I91" s="48" t="n">
        <x:f>IF(J91="Disetujui",G91*H91,0)</x:f>
        <x:v>0</x:v>
      </x:c>
      <x:c r="J91" s="41"/>
      <x:c r="K91" s="41"/>
      <x:c r="L91" s="41" t="str">
        <x:f>A91&amp;"|"&amp;B91</x:f>
        <x:v>|</x:v>
      </x:c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2"/>
      <x:c r="D92" s="41"/>
      <x:c r="E92" s="41"/>
      <x:c r="F92" s="41"/>
      <x:c r="G92" s="48"/>
      <x:c r="H92" s="48"/>
      <x:c r="I92" s="48" t="n">
        <x:f>IF(J92="Disetujui",G92*H92,0)</x:f>
        <x:v>0</x:v>
      </x:c>
      <x:c r="J92" s="41"/>
      <x:c r="K92" s="41"/>
      <x:c r="L92" s="41" t="str">
        <x:f>A92&amp;"|"&amp;B92</x:f>
        <x:v>|</x:v>
      </x:c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2"/>
      <x:c r="D93" s="41"/>
      <x:c r="E93" s="41"/>
      <x:c r="F93" s="41"/>
      <x:c r="G93" s="48"/>
      <x:c r="H93" s="48"/>
      <x:c r="I93" s="48" t="n">
        <x:f>IF(J93="Disetujui",G93*H93,0)</x:f>
        <x:v>0</x:v>
      </x:c>
      <x:c r="J93" s="41"/>
      <x:c r="K93" s="41"/>
      <x:c r="L93" s="41" t="str">
        <x:f>A93&amp;"|"&amp;B93</x:f>
        <x:v>|</x:v>
      </x:c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2"/>
      <x:c r="D94" s="41"/>
      <x:c r="E94" s="41"/>
      <x:c r="F94" s="41"/>
      <x:c r="G94" s="48"/>
      <x:c r="H94" s="48"/>
      <x:c r="I94" s="48" t="n">
        <x:f>IF(J94="Disetujui",G94*H94,0)</x:f>
        <x:v>0</x:v>
      </x:c>
      <x:c r="J94" s="41"/>
      <x:c r="K94" s="41"/>
      <x:c r="L94" s="41" t="str">
        <x:f>A94&amp;"|"&amp;B94</x:f>
        <x:v>|</x:v>
      </x:c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2"/>
      <x:c r="D95" s="41"/>
      <x:c r="E95" s="41"/>
      <x:c r="F95" s="41"/>
      <x:c r="G95" s="48"/>
      <x:c r="H95" s="48"/>
      <x:c r="I95" s="48" t="n">
        <x:f>IF(J95="Disetujui",G95*H95,0)</x:f>
        <x:v>0</x:v>
      </x:c>
      <x:c r="J95" s="41"/>
      <x:c r="K95" s="41"/>
      <x:c r="L95" s="41" t="str">
        <x:f>A95&amp;"|"&amp;B95</x:f>
        <x:v>|</x:v>
      </x:c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2"/>
      <x:c r="D96" s="41"/>
      <x:c r="E96" s="41"/>
      <x:c r="F96" s="41"/>
      <x:c r="G96" s="48"/>
      <x:c r="H96" s="48"/>
      <x:c r="I96" s="48" t="n">
        <x:f>IF(J96="Disetujui",G96*H96,0)</x:f>
        <x:v>0</x:v>
      </x:c>
      <x:c r="J96" s="41"/>
      <x:c r="K96" s="41"/>
      <x:c r="L96" s="41" t="str">
        <x:f>A96&amp;"|"&amp;B96</x:f>
        <x:v>|</x:v>
      </x:c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2"/>
      <x:c r="D97" s="41"/>
      <x:c r="E97" s="41"/>
      <x:c r="F97" s="41"/>
      <x:c r="G97" s="48"/>
      <x:c r="H97" s="48"/>
      <x:c r="I97" s="48" t="n">
        <x:f>IF(J97="Disetujui",G97*H97,0)</x:f>
        <x:v>0</x:v>
      </x:c>
      <x:c r="J97" s="41"/>
      <x:c r="K97" s="41"/>
      <x:c r="L97" s="41" t="str">
        <x:f>A97&amp;"|"&amp;B97</x:f>
        <x:v>|</x:v>
      </x:c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2"/>
      <x:c r="D98" s="41"/>
      <x:c r="E98" s="41"/>
      <x:c r="F98" s="41"/>
      <x:c r="G98" s="48"/>
      <x:c r="H98" s="48"/>
      <x:c r="I98" s="48" t="n">
        <x:f>IF(J98="Disetujui",G98*H98,0)</x:f>
        <x:v>0</x:v>
      </x:c>
      <x:c r="J98" s="41"/>
      <x:c r="K98" s="41"/>
      <x:c r="L98" s="41" t="str">
        <x:f>A98&amp;"|"&amp;B98</x:f>
        <x:v>|</x:v>
      </x:c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2"/>
      <x:c r="D99" s="41"/>
      <x:c r="E99" s="41"/>
      <x:c r="F99" s="41"/>
      <x:c r="G99" s="48"/>
      <x:c r="H99" s="48"/>
      <x:c r="I99" s="48" t="n">
        <x:f>IF(J99="Disetujui",G99*H99,0)</x:f>
        <x:v>0</x:v>
      </x:c>
      <x:c r="J99" s="41"/>
      <x:c r="K99" s="41"/>
      <x:c r="L99" s="41" t="str">
        <x:f>A99&amp;"|"&amp;B99</x:f>
        <x:v>|</x:v>
      </x:c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2"/>
      <x:c r="D100" s="41"/>
      <x:c r="E100" s="41"/>
      <x:c r="F100" s="41"/>
      <x:c r="G100" s="48"/>
      <x:c r="H100" s="48"/>
      <x:c r="I100" s="48" t="n">
        <x:f>IF(J100="Disetujui",G100*H100,0)</x:f>
        <x:v>0</x:v>
      </x:c>
      <x:c r="J100" s="41"/>
      <x:c r="K100" s="41"/>
      <x:c r="L100" s="41" t="str">
        <x:f>A100&amp;"|"&amp;B100</x:f>
        <x:v>|</x:v>
      </x:c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2"/>
      <x:c r="D101" s="41"/>
      <x:c r="E101" s="41"/>
      <x:c r="F101" s="41"/>
      <x:c r="G101" s="48"/>
      <x:c r="H101" s="48"/>
      <x:c r="I101" s="48" t="n">
        <x:f>IF(J101="Disetujui",G101*H101,0)</x:f>
        <x:v>0</x:v>
      </x:c>
      <x:c r="J101" s="41"/>
      <x:c r="K101" s="41"/>
      <x:c r="L101" s="41" t="str">
        <x:f>A101&amp;"|"&amp;B101</x:f>
        <x:v>|</x:v>
      </x:c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2"/>
      <x:c r="D102" s="41"/>
      <x:c r="E102" s="41"/>
      <x:c r="F102" s="41"/>
      <x:c r="G102" s="48"/>
      <x:c r="H102" s="48"/>
      <x:c r="I102" s="48" t="n">
        <x:f>IF(J102="Disetujui",G102*H102,0)</x:f>
        <x:v>0</x:v>
      </x:c>
      <x:c r="J102" s="41"/>
      <x:c r="K102" s="41"/>
      <x:c r="L102" s="41" t="str">
        <x:f>A102&amp;"|"&amp;B102</x:f>
        <x:v>|</x:v>
      </x:c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2"/>
      <x:c r="D103" s="41"/>
      <x:c r="E103" s="41"/>
      <x:c r="F103" s="41"/>
      <x:c r="G103" s="48"/>
      <x:c r="H103" s="48"/>
      <x:c r="I103" s="48" t="n">
        <x:f>IF(J103="Disetujui",G103*H103,0)</x:f>
        <x:v>0</x:v>
      </x:c>
      <x:c r="J103" s="41"/>
      <x:c r="K103" s="41"/>
      <x:c r="L103" s="41" t="str">
        <x:f>A103&amp;"|"&amp;B103</x:f>
        <x:v>|</x:v>
      </x:c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2"/>
      <x:c r="D104" s="41"/>
      <x:c r="E104" s="41"/>
      <x:c r="F104" s="41"/>
      <x:c r="G104" s="48"/>
      <x:c r="H104" s="48"/>
      <x:c r="I104" s="48" t="n">
        <x:f>IF(J104="Disetujui",G104*H104,0)</x:f>
        <x:v>0</x:v>
      </x:c>
      <x:c r="J104" s="41"/>
      <x:c r="K104" s="41"/>
      <x:c r="L104" s="41" t="str">
        <x:f>A104&amp;"|"&amp;B104</x:f>
        <x:v>|</x:v>
      </x:c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2"/>
      <x:c r="D105" s="41"/>
      <x:c r="E105" s="41"/>
      <x:c r="F105" s="41"/>
      <x:c r="G105" s="48"/>
      <x:c r="H105" s="48"/>
      <x:c r="I105" s="48" t="n">
        <x:f>IF(J105="Disetujui",G105*H105,0)</x:f>
        <x:v>0</x:v>
      </x:c>
      <x:c r="J105" s="41"/>
      <x:c r="K105" s="41"/>
      <x:c r="L105" s="41" t="str">
        <x:f>A105&amp;"|"&amp;B105</x:f>
        <x:v>|</x:v>
      </x:c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2"/>
      <x:c r="D106" s="41"/>
      <x:c r="E106" s="41"/>
      <x:c r="F106" s="41"/>
      <x:c r="G106" s="48"/>
      <x:c r="H106" s="48"/>
      <x:c r="I106" s="48" t="n">
        <x:f>IF(J106="Disetujui",G106*H106,0)</x:f>
        <x:v>0</x:v>
      </x:c>
      <x:c r="J106" s="41"/>
      <x:c r="K106" s="41"/>
      <x:c r="L106" s="41" t="str">
        <x:f>A106&amp;"|"&amp;B106</x:f>
        <x:v>|</x:v>
      </x:c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2"/>
      <x:c r="D107" s="41"/>
      <x:c r="E107" s="41"/>
      <x:c r="F107" s="41"/>
      <x:c r="G107" s="48"/>
      <x:c r="H107" s="48"/>
      <x:c r="I107" s="48" t="n">
        <x:f>IF(J107="Disetujui",G107*H107,0)</x:f>
        <x:v>0</x:v>
      </x:c>
      <x:c r="J107" s="41"/>
      <x:c r="K107" s="41"/>
      <x:c r="L107" s="41" t="str">
        <x:f>A107&amp;"|"&amp;B107</x:f>
        <x:v>|</x:v>
      </x:c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2"/>
      <x:c r="D108" s="41"/>
      <x:c r="E108" s="41"/>
      <x:c r="F108" s="41"/>
      <x:c r="G108" s="48"/>
      <x:c r="H108" s="48"/>
      <x:c r="I108" s="48" t="n">
        <x:f>IF(J108="Disetujui",G108*H108,0)</x:f>
        <x:v>0</x:v>
      </x:c>
      <x:c r="J108" s="41"/>
      <x:c r="K108" s="41"/>
      <x:c r="L108" s="41" t="str">
        <x:f>A108&amp;"|"&amp;B108</x:f>
        <x:v>|</x:v>
      </x:c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2"/>
      <x:c r="D109" s="41"/>
      <x:c r="E109" s="41"/>
      <x:c r="F109" s="41"/>
      <x:c r="G109" s="48"/>
      <x:c r="H109" s="48"/>
      <x:c r="I109" s="48" t="n">
        <x:f>IF(J109="Disetujui",G109*H109,0)</x:f>
        <x:v>0</x:v>
      </x:c>
      <x:c r="J109" s="41"/>
      <x:c r="K109" s="41"/>
      <x:c r="L109" s="41" t="str">
        <x:f>A109&amp;"|"&amp;B109</x:f>
        <x:v>|</x:v>
      </x:c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2"/>
      <x:c r="D110" s="41"/>
      <x:c r="E110" s="41"/>
      <x:c r="F110" s="41"/>
      <x:c r="G110" s="48"/>
      <x:c r="H110" s="48"/>
      <x:c r="I110" s="48" t="n">
        <x:f>IF(J110="Disetujui",G110*H110,0)</x:f>
        <x:v>0</x:v>
      </x:c>
      <x:c r="J110" s="41"/>
      <x:c r="K110" s="41"/>
      <x:c r="L110" s="41" t="str">
        <x:f>A110&amp;"|"&amp;B110</x:f>
        <x:v>|</x:v>
      </x:c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2"/>
      <x:c r="D111" s="41"/>
      <x:c r="E111" s="41"/>
      <x:c r="F111" s="41"/>
      <x:c r="G111" s="48"/>
      <x:c r="H111" s="48"/>
      <x:c r="I111" s="48" t="n">
        <x:f>IF(J111="Disetujui",G111*H111,0)</x:f>
        <x:v>0</x:v>
      </x:c>
      <x:c r="J111" s="41"/>
      <x:c r="K111" s="41"/>
      <x:c r="L111" s="41" t="str">
        <x:f>A111&amp;"|"&amp;B111</x:f>
        <x:v>|</x:v>
      </x:c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2"/>
      <x:c r="D112" s="41"/>
      <x:c r="E112" s="41"/>
      <x:c r="F112" s="41"/>
      <x:c r="G112" s="48"/>
      <x:c r="H112" s="48"/>
      <x:c r="I112" s="48" t="n">
        <x:f>IF(J112="Disetujui",G112*H112,0)</x:f>
        <x:v>0</x:v>
      </x:c>
      <x:c r="J112" s="41"/>
      <x:c r="K112" s="41"/>
      <x:c r="L112" s="41" t="str">
        <x:f>A112&amp;"|"&amp;B112</x:f>
        <x:v>|</x:v>
      </x:c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2"/>
      <x:c r="D113" s="41"/>
      <x:c r="E113" s="41"/>
      <x:c r="F113" s="41"/>
      <x:c r="G113" s="48"/>
      <x:c r="H113" s="48"/>
      <x:c r="I113" s="48" t="n">
        <x:f>IF(J113="Disetujui",G113*H113,0)</x:f>
        <x:v>0</x:v>
      </x:c>
      <x:c r="J113" s="41"/>
      <x:c r="K113" s="41"/>
      <x:c r="L113" s="41" t="str">
        <x:f>A113&amp;"|"&amp;B113</x:f>
        <x:v>|</x:v>
      </x:c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2"/>
      <x:c r="D114" s="41"/>
      <x:c r="E114" s="41"/>
      <x:c r="F114" s="41"/>
      <x:c r="G114" s="48"/>
      <x:c r="H114" s="48"/>
      <x:c r="I114" s="48" t="n">
        <x:f>IF(J114="Disetujui",G114*H114,0)</x:f>
        <x:v>0</x:v>
      </x:c>
      <x:c r="J114" s="41"/>
      <x:c r="K114" s="41"/>
      <x:c r="L114" s="41" t="str">
        <x:f>A114&amp;"|"&amp;B114</x:f>
        <x:v>|</x:v>
      </x:c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2"/>
      <x:c r="D115" s="41"/>
      <x:c r="E115" s="41"/>
      <x:c r="F115" s="41"/>
      <x:c r="G115" s="48"/>
      <x:c r="H115" s="48"/>
      <x:c r="I115" s="48" t="n">
        <x:f>IF(J115="Disetujui",G115*H115,0)</x:f>
        <x:v>0</x:v>
      </x:c>
      <x:c r="J115" s="41"/>
      <x:c r="K115" s="41"/>
      <x:c r="L115" s="41" t="str">
        <x:f>A115&amp;"|"&amp;B115</x:f>
        <x:v>|</x:v>
      </x:c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2"/>
      <x:c r="D116" s="41"/>
      <x:c r="E116" s="41"/>
      <x:c r="F116" s="41"/>
      <x:c r="G116" s="48"/>
      <x:c r="H116" s="48"/>
      <x:c r="I116" s="48" t="n">
        <x:f>IF(J116="Disetujui",G116*H116,0)</x:f>
        <x:v>0</x:v>
      </x:c>
      <x:c r="J116" s="41"/>
      <x:c r="K116" s="41"/>
      <x:c r="L116" s="41" t="str">
        <x:f>A116&amp;"|"&amp;B116</x:f>
        <x:v>|</x:v>
      </x:c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2"/>
      <x:c r="D117" s="41"/>
      <x:c r="E117" s="41"/>
      <x:c r="F117" s="41"/>
      <x:c r="G117" s="48"/>
      <x:c r="H117" s="48"/>
      <x:c r="I117" s="48" t="n">
        <x:f>IF(J117="Disetujui",G117*H117,0)</x:f>
        <x:v>0</x:v>
      </x:c>
      <x:c r="J117" s="41"/>
      <x:c r="K117" s="41"/>
      <x:c r="L117" s="41" t="str">
        <x:f>A117&amp;"|"&amp;B117</x:f>
        <x:v>|</x:v>
      </x:c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2"/>
      <x:c r="D118" s="41"/>
      <x:c r="E118" s="41"/>
      <x:c r="F118" s="41"/>
      <x:c r="G118" s="48"/>
      <x:c r="H118" s="48"/>
      <x:c r="I118" s="48" t="n">
        <x:f>IF(J118="Disetujui",G118*H118,0)</x:f>
        <x:v>0</x:v>
      </x:c>
      <x:c r="J118" s="41"/>
      <x:c r="K118" s="41"/>
      <x:c r="L118" s="41" t="str">
        <x:f>A118&amp;"|"&amp;B118</x:f>
        <x:v>|</x:v>
      </x:c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2"/>
      <x:c r="D119" s="41"/>
      <x:c r="E119" s="41"/>
      <x:c r="F119" s="41"/>
      <x:c r="G119" s="48"/>
      <x:c r="H119" s="48"/>
      <x:c r="I119" s="48" t="n">
        <x:f>IF(J119="Disetujui",G119*H119,0)</x:f>
        <x:v>0</x:v>
      </x:c>
      <x:c r="J119" s="41"/>
      <x:c r="K119" s="41"/>
      <x:c r="L119" s="41" t="str">
        <x:f>A119&amp;"|"&amp;B119</x:f>
        <x:v>|</x:v>
      </x:c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2"/>
      <x:c r="D120" s="41"/>
      <x:c r="E120" s="41"/>
      <x:c r="F120" s="41"/>
      <x:c r="G120" s="48"/>
      <x:c r="H120" s="48"/>
      <x:c r="I120" s="48" t="n">
        <x:f>IF(J120="Disetujui",G120*H120,0)</x:f>
        <x:v>0</x:v>
      </x:c>
      <x:c r="J120" s="41"/>
      <x:c r="K120" s="41"/>
      <x:c r="L120" s="41" t="str">
        <x:f>A120&amp;"|"&amp;B120</x:f>
        <x:v>|</x:v>
      </x:c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2"/>
      <x:c r="D121" s="41"/>
      <x:c r="E121" s="41"/>
      <x:c r="F121" s="41"/>
      <x:c r="G121" s="48"/>
      <x:c r="H121" s="48"/>
      <x:c r="I121" s="48" t="n">
        <x:f>IF(J121="Disetujui",G121*H121,0)</x:f>
        <x:v>0</x:v>
      </x:c>
      <x:c r="J121" s="41"/>
      <x:c r="K121" s="41"/>
      <x:c r="L121" s="41" t="str">
        <x:f>A121&amp;"|"&amp;B121</x:f>
        <x:v>|</x:v>
      </x:c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2"/>
      <x:c r="D122" s="41"/>
      <x:c r="E122" s="41"/>
      <x:c r="F122" s="41"/>
      <x:c r="G122" s="48"/>
      <x:c r="H122" s="48"/>
      <x:c r="I122" s="48" t="n">
        <x:f>IF(J122="Disetujui",G122*H122,0)</x:f>
        <x:v>0</x:v>
      </x:c>
      <x:c r="J122" s="41"/>
      <x:c r="K122" s="41"/>
      <x:c r="L122" s="41" t="str">
        <x:f>A122&amp;"|"&amp;B122</x:f>
        <x:v>|</x:v>
      </x:c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2"/>
      <x:c r="D123" s="41"/>
      <x:c r="E123" s="41"/>
      <x:c r="F123" s="41"/>
      <x:c r="G123" s="48"/>
      <x:c r="H123" s="48"/>
      <x:c r="I123" s="48" t="n">
        <x:f>IF(J123="Disetujui",G123*H123,0)</x:f>
        <x:v>0</x:v>
      </x:c>
      <x:c r="J123" s="41"/>
      <x:c r="K123" s="41"/>
      <x:c r="L123" s="41" t="str">
        <x:f>A123&amp;"|"&amp;B123</x:f>
        <x:v>|</x:v>
      </x:c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2"/>
      <x:c r="D124" s="41"/>
      <x:c r="E124" s="41"/>
      <x:c r="F124" s="41"/>
      <x:c r="G124" s="48"/>
      <x:c r="H124" s="48"/>
      <x:c r="I124" s="48" t="n">
        <x:f>IF(J124="Disetujui",G124*H124,0)</x:f>
        <x:v>0</x:v>
      </x:c>
      <x:c r="J124" s="41"/>
      <x:c r="K124" s="41"/>
      <x:c r="L124" s="41" t="str">
        <x:f>A124&amp;"|"&amp;B124</x:f>
        <x:v>|</x:v>
      </x:c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2"/>
      <x:c r="D125" s="41"/>
      <x:c r="E125" s="41"/>
      <x:c r="F125" s="41"/>
      <x:c r="G125" s="48"/>
      <x:c r="H125" s="48"/>
      <x:c r="I125" s="48" t="n">
        <x:f>IF(J125="Disetujui",G125*H125,0)</x:f>
        <x:v>0</x:v>
      </x:c>
      <x:c r="J125" s="41"/>
      <x:c r="K125" s="41"/>
      <x:c r="L125" s="41" t="str">
        <x:f>A125&amp;"|"&amp;B125</x:f>
        <x:v>|</x:v>
      </x:c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2"/>
      <x:c r="D126" s="41"/>
      <x:c r="E126" s="41"/>
      <x:c r="F126" s="41"/>
      <x:c r="G126" s="48"/>
      <x:c r="H126" s="48"/>
      <x:c r="I126" s="48" t="n">
        <x:f>IF(J126="Disetujui",G126*H126,0)</x:f>
        <x:v>0</x:v>
      </x:c>
      <x:c r="J126" s="41"/>
      <x:c r="K126" s="41"/>
      <x:c r="L126" s="41" t="str">
        <x:f>A126&amp;"|"&amp;B126</x:f>
        <x:v>|</x:v>
      </x:c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2"/>
      <x:c r="D127" s="41"/>
      <x:c r="E127" s="41"/>
      <x:c r="F127" s="41"/>
      <x:c r="G127" s="48"/>
      <x:c r="H127" s="48"/>
      <x:c r="I127" s="48" t="n">
        <x:f>IF(J127="Disetujui",G127*H127,0)</x:f>
        <x:v>0</x:v>
      </x:c>
      <x:c r="J127" s="41"/>
      <x:c r="K127" s="41"/>
      <x:c r="L127" s="41" t="str">
        <x:f>A127&amp;"|"&amp;B127</x:f>
        <x:v>|</x:v>
      </x:c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2"/>
      <x:c r="D128" s="41"/>
      <x:c r="E128" s="41"/>
      <x:c r="F128" s="41"/>
      <x:c r="G128" s="48"/>
      <x:c r="H128" s="48"/>
      <x:c r="I128" s="48" t="n">
        <x:f>IF(J128="Disetujui",G128*H128,0)</x:f>
        <x:v>0</x:v>
      </x:c>
      <x:c r="J128" s="41"/>
      <x:c r="K128" s="41"/>
      <x:c r="L128" s="41" t="str">
        <x:f>A128&amp;"|"&amp;B128</x:f>
        <x:v>|</x:v>
      </x:c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2"/>
      <x:c r="D129" s="41"/>
      <x:c r="E129" s="41"/>
      <x:c r="F129" s="41"/>
      <x:c r="G129" s="48"/>
      <x:c r="H129" s="48"/>
      <x:c r="I129" s="48" t="n">
        <x:f>IF(J129="Disetujui",G129*H129,0)</x:f>
        <x:v>0</x:v>
      </x:c>
      <x:c r="J129" s="41"/>
      <x:c r="K129" s="41"/>
      <x:c r="L129" s="41" t="str">
        <x:f>A129&amp;"|"&amp;B129</x:f>
        <x:v>|</x:v>
      </x:c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2"/>
      <x:c r="D130" s="41"/>
      <x:c r="E130" s="41"/>
      <x:c r="F130" s="41"/>
      <x:c r="G130" s="48"/>
      <x:c r="H130" s="48"/>
      <x:c r="I130" s="48" t="n">
        <x:f>IF(J130="Disetujui",G130*H130,0)</x:f>
        <x:v>0</x:v>
      </x:c>
      <x:c r="J130" s="41"/>
      <x:c r="K130" s="41"/>
      <x:c r="L130" s="41" t="str">
        <x:f>A130&amp;"|"&amp;B130</x:f>
        <x:v>|</x:v>
      </x:c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2"/>
      <x:c r="D131" s="41"/>
      <x:c r="E131" s="41"/>
      <x:c r="F131" s="41"/>
      <x:c r="G131" s="48"/>
      <x:c r="H131" s="48"/>
      <x:c r="I131" s="48" t="n">
        <x:f>IF(J131="Disetujui",G131*H131,0)</x:f>
        <x:v>0</x:v>
      </x:c>
      <x:c r="J131" s="41"/>
      <x:c r="K131" s="41"/>
      <x:c r="L131" s="41" t="str">
        <x:f>A131&amp;"|"&amp;B131</x:f>
        <x:v>|</x:v>
      </x:c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2"/>
      <x:c r="D132" s="41"/>
      <x:c r="E132" s="41"/>
      <x:c r="F132" s="41"/>
      <x:c r="G132" s="48"/>
      <x:c r="H132" s="48"/>
      <x:c r="I132" s="48" t="n">
        <x:f>IF(J132="Disetujui",G132*H132,0)</x:f>
        <x:v>0</x:v>
      </x:c>
      <x:c r="J132" s="41"/>
      <x:c r="K132" s="41"/>
      <x:c r="L132" s="41" t="str">
        <x:f>A132&amp;"|"&amp;B132</x:f>
        <x:v>|</x:v>
      </x:c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2"/>
      <x:c r="D133" s="41"/>
      <x:c r="E133" s="41"/>
      <x:c r="F133" s="41"/>
      <x:c r="G133" s="48"/>
      <x:c r="H133" s="48"/>
      <x:c r="I133" s="48" t="n">
        <x:f>IF(J133="Disetujui",G133*H133,0)</x:f>
        <x:v>0</x:v>
      </x:c>
      <x:c r="J133" s="41"/>
      <x:c r="K133" s="41"/>
      <x:c r="L133" s="41" t="str">
        <x:f>A133&amp;"|"&amp;B133</x:f>
        <x:v>|</x:v>
      </x:c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2"/>
      <x:c r="D134" s="41"/>
      <x:c r="E134" s="41"/>
      <x:c r="F134" s="41"/>
      <x:c r="G134" s="48"/>
      <x:c r="H134" s="48"/>
      <x:c r="I134" s="48" t="n">
        <x:f>IF(J134="Disetujui",G134*H134,0)</x:f>
        <x:v>0</x:v>
      </x:c>
      <x:c r="J134" s="41"/>
      <x:c r="K134" s="41"/>
      <x:c r="L134" s="41" t="str">
        <x:f>A134&amp;"|"&amp;B134</x:f>
        <x:v>|</x:v>
      </x:c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2"/>
      <x:c r="D135" s="41"/>
      <x:c r="E135" s="41"/>
      <x:c r="F135" s="41"/>
      <x:c r="G135" s="48"/>
      <x:c r="H135" s="48"/>
      <x:c r="I135" s="48" t="n">
        <x:f>IF(J135="Disetujui",G135*H135,0)</x:f>
        <x:v>0</x:v>
      </x:c>
      <x:c r="J135" s="41"/>
      <x:c r="K135" s="41"/>
      <x:c r="L135" s="41" t="str">
        <x:f>A135&amp;"|"&amp;B135</x:f>
        <x:v>|</x:v>
      </x:c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2"/>
      <x:c r="D136" s="41"/>
      <x:c r="E136" s="41"/>
      <x:c r="F136" s="41"/>
      <x:c r="G136" s="48"/>
      <x:c r="H136" s="48"/>
      <x:c r="I136" s="48" t="n">
        <x:f>IF(J136="Disetujui",G136*H136,0)</x:f>
        <x:v>0</x:v>
      </x:c>
      <x:c r="J136" s="41"/>
      <x:c r="K136" s="41"/>
      <x:c r="L136" s="41" t="str">
        <x:f>A136&amp;"|"&amp;B136</x:f>
        <x:v>|</x:v>
      </x:c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2"/>
      <x:c r="D137" s="41"/>
      <x:c r="E137" s="41"/>
      <x:c r="F137" s="41"/>
      <x:c r="G137" s="48"/>
      <x:c r="H137" s="48"/>
      <x:c r="I137" s="48" t="n">
        <x:f>IF(J137="Disetujui",G137*H137,0)</x:f>
        <x:v>0</x:v>
      </x:c>
      <x:c r="J137" s="41"/>
      <x:c r="K137" s="41"/>
      <x:c r="L137" s="41" t="str">
        <x:f>A137&amp;"|"&amp;B137</x:f>
        <x:v>|</x:v>
      </x:c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2"/>
      <x:c r="D138" s="41"/>
      <x:c r="E138" s="41"/>
      <x:c r="F138" s="41"/>
      <x:c r="G138" s="48"/>
      <x:c r="H138" s="48"/>
      <x:c r="I138" s="48" t="n">
        <x:f>IF(J138="Disetujui",G138*H138,0)</x:f>
        <x:v>0</x:v>
      </x:c>
      <x:c r="J138" s="41"/>
      <x:c r="K138" s="41"/>
      <x:c r="L138" s="41" t="str">
        <x:f>A138&amp;"|"&amp;B138</x:f>
        <x:v>|</x:v>
      </x:c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2"/>
      <x:c r="D139" s="41"/>
      <x:c r="E139" s="41"/>
      <x:c r="F139" s="41"/>
      <x:c r="G139" s="48"/>
      <x:c r="H139" s="48"/>
      <x:c r="I139" s="48" t="n">
        <x:f>IF(J139="Disetujui",G139*H139,0)</x:f>
        <x:v>0</x:v>
      </x:c>
      <x:c r="J139" s="41"/>
      <x:c r="K139" s="41"/>
      <x:c r="L139" s="41" t="str">
        <x:f>A139&amp;"|"&amp;B139</x:f>
        <x:v>|</x:v>
      </x:c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2"/>
      <x:c r="D140" s="41"/>
      <x:c r="E140" s="41"/>
      <x:c r="F140" s="41"/>
      <x:c r="G140" s="48"/>
      <x:c r="H140" s="48"/>
      <x:c r="I140" s="48" t="n">
        <x:f>IF(J140="Disetujui",G140*H140,0)</x:f>
        <x:v>0</x:v>
      </x:c>
      <x:c r="J140" s="41"/>
      <x:c r="K140" s="41"/>
      <x:c r="L140" s="41" t="str">
        <x:f>A140&amp;"|"&amp;B140</x:f>
        <x:v>|</x:v>
      </x:c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2"/>
      <x:c r="D141" s="41"/>
      <x:c r="E141" s="41"/>
      <x:c r="F141" s="41"/>
      <x:c r="G141" s="48"/>
      <x:c r="H141" s="48"/>
      <x:c r="I141" s="48" t="n">
        <x:f>IF(J141="Disetujui",G141*H141,0)</x:f>
        <x:v>0</x:v>
      </x:c>
      <x:c r="J141" s="41"/>
      <x:c r="K141" s="41"/>
      <x:c r="L141" s="41" t="str">
        <x:f>A141&amp;"|"&amp;B141</x:f>
        <x:v>|</x:v>
      </x:c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2"/>
      <x:c r="D142" s="41"/>
      <x:c r="E142" s="41"/>
      <x:c r="F142" s="41"/>
      <x:c r="G142" s="48"/>
      <x:c r="H142" s="48"/>
      <x:c r="I142" s="48" t="n">
        <x:f>IF(J142="Disetujui",G142*H142,0)</x:f>
        <x:v>0</x:v>
      </x:c>
      <x:c r="J142" s="41"/>
      <x:c r="K142" s="41"/>
      <x:c r="L142" s="41" t="str">
        <x:f>A142&amp;"|"&amp;B142</x:f>
        <x:v>|</x:v>
      </x:c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2"/>
      <x:c r="D143" s="41"/>
      <x:c r="E143" s="41"/>
      <x:c r="F143" s="41"/>
      <x:c r="G143" s="48"/>
      <x:c r="H143" s="48"/>
      <x:c r="I143" s="48" t="n">
        <x:f>IF(J143="Disetujui",G143*H143,0)</x:f>
        <x:v>0</x:v>
      </x:c>
      <x:c r="J143" s="41"/>
      <x:c r="K143" s="41"/>
      <x:c r="L143" s="41" t="str">
        <x:f>A143&amp;"|"&amp;B143</x:f>
        <x:v>|</x:v>
      </x:c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2"/>
      <x:c r="D144" s="41"/>
      <x:c r="E144" s="41"/>
      <x:c r="F144" s="41"/>
      <x:c r="G144" s="48"/>
      <x:c r="H144" s="48"/>
      <x:c r="I144" s="48" t="n">
        <x:f>IF(J144="Disetujui",G144*H144,0)</x:f>
        <x:v>0</x:v>
      </x:c>
      <x:c r="J144" s="41"/>
      <x:c r="K144" s="41"/>
      <x:c r="L144" s="41" t="str">
        <x:f>A144&amp;"|"&amp;B144</x:f>
        <x:v>|</x:v>
      </x:c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2"/>
      <x:c r="D145" s="41"/>
      <x:c r="E145" s="41"/>
      <x:c r="F145" s="41"/>
      <x:c r="G145" s="48"/>
      <x:c r="H145" s="48"/>
      <x:c r="I145" s="48" t="n">
        <x:f>IF(J145="Disetujui",G145*H145,0)</x:f>
        <x:v>0</x:v>
      </x:c>
      <x:c r="J145" s="41"/>
      <x:c r="K145" s="41"/>
      <x:c r="L145" s="41" t="str">
        <x:f>A145&amp;"|"&amp;B145</x:f>
        <x:v>|</x:v>
      </x:c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2"/>
      <x:c r="D146" s="41"/>
      <x:c r="E146" s="41"/>
      <x:c r="F146" s="41"/>
      <x:c r="G146" s="48"/>
      <x:c r="H146" s="48"/>
      <x:c r="I146" s="48" t="n">
        <x:f>IF(J146="Disetujui",G146*H146,0)</x:f>
        <x:v>0</x:v>
      </x:c>
      <x:c r="J146" s="41"/>
      <x:c r="K146" s="41"/>
      <x:c r="L146" s="41" t="str">
        <x:f>A146&amp;"|"&amp;B146</x:f>
        <x:v>|</x:v>
      </x:c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2"/>
      <x:c r="D147" s="41"/>
      <x:c r="E147" s="41"/>
      <x:c r="F147" s="41"/>
      <x:c r="G147" s="48"/>
      <x:c r="H147" s="48"/>
      <x:c r="I147" s="48" t="n">
        <x:f>IF(J147="Disetujui",G147*H147,0)</x:f>
        <x:v>0</x:v>
      </x:c>
      <x:c r="J147" s="41"/>
      <x:c r="K147" s="41"/>
      <x:c r="L147" s="41" t="str">
        <x:f>A147&amp;"|"&amp;B147</x:f>
        <x:v>|</x:v>
      </x:c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2"/>
      <x:c r="D148" s="41"/>
      <x:c r="E148" s="41"/>
      <x:c r="F148" s="41"/>
      <x:c r="G148" s="48"/>
      <x:c r="H148" s="48"/>
      <x:c r="I148" s="48" t="n">
        <x:f>IF(J148="Disetujui",G148*H148,0)</x:f>
        <x:v>0</x:v>
      </x:c>
      <x:c r="J148" s="41"/>
      <x:c r="K148" s="41"/>
      <x:c r="L148" s="41" t="str">
        <x:f>A148&amp;"|"&amp;B148</x:f>
        <x:v>|</x:v>
      </x:c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2"/>
      <x:c r="D149" s="41"/>
      <x:c r="E149" s="41"/>
      <x:c r="F149" s="41"/>
      <x:c r="G149" s="48"/>
      <x:c r="H149" s="48"/>
      <x:c r="I149" s="48" t="n">
        <x:f>IF(J149="Disetujui",G149*H149,0)</x:f>
        <x:v>0</x:v>
      </x:c>
      <x:c r="J149" s="41"/>
      <x:c r="K149" s="41"/>
      <x:c r="L149" s="41" t="str">
        <x:f>A149&amp;"|"&amp;B149</x:f>
        <x:v>|</x:v>
      </x:c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2"/>
      <x:c r="D150" s="41"/>
      <x:c r="E150" s="41"/>
      <x:c r="F150" s="41"/>
      <x:c r="G150" s="48"/>
      <x:c r="H150" s="48"/>
      <x:c r="I150" s="48" t="n">
        <x:f>IF(J150="Disetujui",G150*H150,0)</x:f>
        <x:v>0</x:v>
      </x:c>
      <x:c r="J150" s="41"/>
      <x:c r="K150" s="41"/>
      <x:c r="L150" s="41" t="str">
        <x:f>A150&amp;"|"&amp;B150</x:f>
        <x:v>|</x:v>
      </x:c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2"/>
      <x:c r="D151" s="41"/>
      <x:c r="E151" s="41"/>
      <x:c r="F151" s="41"/>
      <x:c r="G151" s="48"/>
      <x:c r="H151" s="48"/>
      <x:c r="I151" s="48" t="n">
        <x:f>IF(J151="Disetujui",G151*H151,0)</x:f>
        <x:v>0</x:v>
      </x:c>
      <x:c r="J151" s="41"/>
      <x:c r="K151" s="41"/>
      <x:c r="L151" s="41" t="str">
        <x:f>A151&amp;"|"&amp;B151</x:f>
        <x:v>|</x:v>
      </x:c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2"/>
      <x:c r="D152" s="41"/>
      <x:c r="E152" s="41"/>
      <x:c r="F152" s="41"/>
      <x:c r="G152" s="48"/>
      <x:c r="H152" s="48"/>
      <x:c r="I152" s="48" t="n">
        <x:f>IF(J152="Disetujui",G152*H152,0)</x:f>
        <x:v>0</x:v>
      </x:c>
      <x:c r="J152" s="41"/>
      <x:c r="K152" s="41"/>
      <x:c r="L152" s="41" t="str">
        <x:f>A152&amp;"|"&amp;B152</x:f>
        <x:v>|</x:v>
      </x:c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2"/>
      <x:c r="D153" s="41"/>
      <x:c r="E153" s="41"/>
      <x:c r="F153" s="41"/>
      <x:c r="G153" s="48"/>
      <x:c r="H153" s="48"/>
      <x:c r="I153" s="48" t="n">
        <x:f>IF(J153="Disetujui",G153*H153,0)</x:f>
        <x:v>0</x:v>
      </x:c>
      <x:c r="J153" s="41"/>
      <x:c r="K153" s="41"/>
      <x:c r="L153" s="41" t="str">
        <x:f>A153&amp;"|"&amp;B153</x:f>
        <x:v>|</x:v>
      </x:c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2"/>
      <x:c r="D154" s="41"/>
      <x:c r="E154" s="41"/>
      <x:c r="F154" s="41"/>
      <x:c r="G154" s="48"/>
      <x:c r="H154" s="48"/>
      <x:c r="I154" s="48" t="n">
        <x:f>IF(J154="Disetujui",G154*H154,0)</x:f>
        <x:v>0</x:v>
      </x:c>
      <x:c r="J154" s="41"/>
      <x:c r="K154" s="41"/>
      <x:c r="L154" s="41" t="str">
        <x:f>A154&amp;"|"&amp;B154</x:f>
        <x:v>|</x:v>
      </x:c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2"/>
      <x:c r="D155" s="41"/>
      <x:c r="E155" s="41"/>
      <x:c r="F155" s="41"/>
      <x:c r="G155" s="48"/>
      <x:c r="H155" s="48"/>
      <x:c r="I155" s="48" t="n">
        <x:f>IF(J155="Disetujui",G155*H155,0)</x:f>
        <x:v>0</x:v>
      </x:c>
      <x:c r="J155" s="41"/>
      <x:c r="K155" s="41"/>
      <x:c r="L155" s="41" t="str">
        <x:f>A155&amp;"|"&amp;B155</x:f>
        <x:v>|</x:v>
      </x:c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2"/>
      <x:c r="D156" s="41"/>
      <x:c r="E156" s="41"/>
      <x:c r="F156" s="41"/>
      <x:c r="G156" s="48"/>
      <x:c r="H156" s="48"/>
      <x:c r="I156" s="48" t="n">
        <x:f>IF(J156="Disetujui",G156*H156,0)</x:f>
        <x:v>0</x:v>
      </x:c>
      <x:c r="J156" s="41"/>
      <x:c r="K156" s="41"/>
      <x:c r="L156" s="41" t="str">
        <x:f>A156&amp;"|"&amp;B156</x:f>
        <x:v>|</x:v>
      </x:c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2"/>
      <x:c r="D157" s="41"/>
      <x:c r="E157" s="41"/>
      <x:c r="F157" s="41"/>
      <x:c r="G157" s="48"/>
      <x:c r="H157" s="48"/>
      <x:c r="I157" s="48" t="n">
        <x:f>IF(J157="Disetujui",G157*H157,0)</x:f>
        <x:v>0</x:v>
      </x:c>
      <x:c r="J157" s="41"/>
      <x:c r="K157" s="41"/>
      <x:c r="L157" s="41" t="str">
        <x:f>A157&amp;"|"&amp;B157</x:f>
        <x:v>|</x:v>
      </x:c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2"/>
      <x:c r="D158" s="41"/>
      <x:c r="E158" s="41"/>
      <x:c r="F158" s="41"/>
      <x:c r="G158" s="48"/>
      <x:c r="H158" s="48"/>
      <x:c r="I158" s="48" t="n">
        <x:f>IF(J158="Disetujui",G158*H158,0)</x:f>
        <x:v>0</x:v>
      </x:c>
      <x:c r="J158" s="41"/>
      <x:c r="K158" s="41"/>
      <x:c r="L158" s="41" t="str">
        <x:f>A158&amp;"|"&amp;B158</x:f>
        <x:v>|</x:v>
      </x:c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2"/>
      <x:c r="D159" s="41"/>
      <x:c r="E159" s="41"/>
      <x:c r="F159" s="41"/>
      <x:c r="G159" s="48"/>
      <x:c r="H159" s="48"/>
      <x:c r="I159" s="48" t="n">
        <x:f>IF(J159="Disetujui",G159*H159,0)</x:f>
        <x:v>0</x:v>
      </x:c>
      <x:c r="J159" s="41"/>
      <x:c r="K159" s="41"/>
      <x:c r="L159" s="41" t="str">
        <x:f>A159&amp;"|"&amp;B159</x:f>
        <x:v>|</x:v>
      </x:c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2"/>
      <x:c r="D160" s="41"/>
      <x:c r="E160" s="41"/>
      <x:c r="F160" s="41"/>
      <x:c r="G160" s="48"/>
      <x:c r="H160" s="48"/>
      <x:c r="I160" s="48" t="n">
        <x:f>IF(J160="Disetujui",G160*H160,0)</x:f>
        <x:v>0</x:v>
      </x:c>
      <x:c r="J160" s="41"/>
      <x:c r="K160" s="41"/>
      <x:c r="L160" s="41" t="str">
        <x:f>A160&amp;"|"&amp;B160</x:f>
        <x:v>|</x:v>
      </x:c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2"/>
      <x:c r="D161" s="41"/>
      <x:c r="E161" s="41"/>
      <x:c r="F161" s="41"/>
      <x:c r="G161" s="48"/>
      <x:c r="H161" s="48"/>
      <x:c r="I161" s="48" t="n">
        <x:f>IF(J161="Disetujui",G161*H161,0)</x:f>
        <x:v>0</x:v>
      </x:c>
      <x:c r="J161" s="41"/>
      <x:c r="K161" s="41"/>
      <x:c r="L161" s="41" t="str">
        <x:f>A161&amp;"|"&amp;B161</x:f>
        <x:v>|</x:v>
      </x:c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2"/>
      <x:c r="D162" s="41"/>
      <x:c r="E162" s="41"/>
      <x:c r="F162" s="41"/>
      <x:c r="G162" s="48"/>
      <x:c r="H162" s="48"/>
      <x:c r="I162" s="48" t="n">
        <x:f>IF(J162="Disetujui",G162*H162,0)</x:f>
        <x:v>0</x:v>
      </x:c>
      <x:c r="J162" s="41"/>
      <x:c r="K162" s="41"/>
      <x:c r="L162" s="41" t="str">
        <x:f>A162&amp;"|"&amp;B162</x:f>
        <x:v>|</x:v>
      </x:c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2"/>
      <x:c r="D163" s="41"/>
      <x:c r="E163" s="41"/>
      <x:c r="F163" s="41"/>
      <x:c r="G163" s="48"/>
      <x:c r="H163" s="48"/>
      <x:c r="I163" s="48" t="n">
        <x:f>IF(J163="Disetujui",G163*H163,0)</x:f>
        <x:v>0</x:v>
      </x:c>
      <x:c r="J163" s="41"/>
      <x:c r="K163" s="41"/>
      <x:c r="L163" s="41" t="str">
        <x:f>A163&amp;"|"&amp;B163</x:f>
        <x:v>|</x:v>
      </x:c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2"/>
      <x:c r="D164" s="41"/>
      <x:c r="E164" s="41"/>
      <x:c r="F164" s="41"/>
      <x:c r="G164" s="48"/>
      <x:c r="H164" s="48"/>
      <x:c r="I164" s="48" t="n">
        <x:f>IF(J164="Disetujui",G164*H164,0)</x:f>
        <x:v>0</x:v>
      </x:c>
      <x:c r="J164" s="41"/>
      <x:c r="K164" s="41"/>
      <x:c r="L164" s="41" t="str">
        <x:f>A164&amp;"|"&amp;B164</x:f>
        <x:v>|</x:v>
      </x:c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2"/>
      <x:c r="D165" s="41"/>
      <x:c r="E165" s="41"/>
      <x:c r="F165" s="41"/>
      <x:c r="G165" s="48"/>
      <x:c r="H165" s="48"/>
      <x:c r="I165" s="48" t="n">
        <x:f>IF(J165="Disetujui",G165*H165,0)</x:f>
        <x:v>0</x:v>
      </x:c>
      <x:c r="J165" s="41"/>
      <x:c r="K165" s="41"/>
      <x:c r="L165" s="41" t="str">
        <x:f>A165&amp;"|"&amp;B165</x:f>
        <x:v>|</x:v>
      </x:c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2"/>
      <x:c r="D166" s="41"/>
      <x:c r="E166" s="41"/>
      <x:c r="F166" s="41"/>
      <x:c r="G166" s="48"/>
      <x:c r="H166" s="48"/>
      <x:c r="I166" s="48" t="n">
        <x:f>IF(J166="Disetujui",G166*H166,0)</x:f>
        <x:v>0</x:v>
      </x:c>
      <x:c r="J166" s="41"/>
      <x:c r="K166" s="41"/>
      <x:c r="L166" s="41" t="str">
        <x:f>A166&amp;"|"&amp;B166</x:f>
        <x:v>|</x:v>
      </x:c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2"/>
      <x:c r="D167" s="41"/>
      <x:c r="E167" s="41"/>
      <x:c r="F167" s="41"/>
      <x:c r="G167" s="48"/>
      <x:c r="H167" s="48"/>
      <x:c r="I167" s="48" t="n">
        <x:f>IF(J167="Disetujui",G167*H167,0)</x:f>
        <x:v>0</x:v>
      </x:c>
      <x:c r="J167" s="41"/>
      <x:c r="K167" s="41"/>
      <x:c r="L167" s="41" t="str">
        <x:f>A167&amp;"|"&amp;B167</x:f>
        <x:v>|</x:v>
      </x:c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2"/>
      <x:c r="D168" s="41"/>
      <x:c r="E168" s="41"/>
      <x:c r="F168" s="41"/>
      <x:c r="G168" s="48"/>
      <x:c r="H168" s="48"/>
      <x:c r="I168" s="48" t="n">
        <x:f>IF(J168="Disetujui",G168*H168,0)</x:f>
        <x:v>0</x:v>
      </x:c>
      <x:c r="J168" s="41"/>
      <x:c r="K168" s="41"/>
      <x:c r="L168" s="41" t="str">
        <x:f>A168&amp;"|"&amp;B168</x:f>
        <x:v>|</x:v>
      </x:c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2"/>
      <x:c r="D169" s="41"/>
      <x:c r="E169" s="41"/>
      <x:c r="F169" s="41"/>
      <x:c r="G169" s="48"/>
      <x:c r="H169" s="48"/>
      <x:c r="I169" s="48" t="n">
        <x:f>IF(J169="Disetujui",G169*H169,0)</x:f>
        <x:v>0</x:v>
      </x:c>
      <x:c r="J169" s="41"/>
      <x:c r="K169" s="41"/>
      <x:c r="L169" s="41" t="str">
        <x:f>A169&amp;"|"&amp;B169</x:f>
        <x:v>|</x:v>
      </x:c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2"/>
      <x:c r="D170" s="41"/>
      <x:c r="E170" s="41"/>
      <x:c r="F170" s="41"/>
      <x:c r="G170" s="48"/>
      <x:c r="H170" s="48"/>
      <x:c r="I170" s="48" t="n">
        <x:f>IF(J170="Disetujui",G170*H170,0)</x:f>
        <x:v>0</x:v>
      </x:c>
      <x:c r="J170" s="41"/>
      <x:c r="K170" s="41"/>
      <x:c r="L170" s="41" t="str">
        <x:f>A170&amp;"|"&amp;B170</x:f>
        <x:v>|</x:v>
      </x:c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2"/>
      <x:c r="D171" s="41"/>
      <x:c r="E171" s="41"/>
      <x:c r="F171" s="41"/>
      <x:c r="G171" s="48"/>
      <x:c r="H171" s="48"/>
      <x:c r="I171" s="48" t="n">
        <x:f>IF(J171="Disetujui",G171*H171,0)</x:f>
        <x:v>0</x:v>
      </x:c>
      <x:c r="J171" s="41"/>
      <x:c r="K171" s="41"/>
      <x:c r="L171" s="41" t="str">
        <x:f>A171&amp;"|"&amp;B171</x:f>
        <x:v>|</x:v>
      </x:c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2"/>
      <x:c r="D172" s="41"/>
      <x:c r="E172" s="41"/>
      <x:c r="F172" s="41"/>
      <x:c r="G172" s="48"/>
      <x:c r="H172" s="48"/>
      <x:c r="I172" s="48" t="n">
        <x:f>IF(J172="Disetujui",G172*H172,0)</x:f>
        <x:v>0</x:v>
      </x:c>
      <x:c r="J172" s="41"/>
      <x:c r="K172" s="41"/>
      <x:c r="L172" s="41" t="str">
        <x:f>A172&amp;"|"&amp;B172</x:f>
        <x:v>|</x:v>
      </x:c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2"/>
      <x:c r="D173" s="41"/>
      <x:c r="E173" s="41"/>
      <x:c r="F173" s="41"/>
      <x:c r="G173" s="48"/>
      <x:c r="H173" s="48"/>
      <x:c r="I173" s="48" t="n">
        <x:f>IF(J173="Disetujui",G173*H173,0)</x:f>
        <x:v>0</x:v>
      </x:c>
      <x:c r="J173" s="41"/>
      <x:c r="K173" s="41"/>
      <x:c r="L173" s="41" t="str">
        <x:f>A173&amp;"|"&amp;B173</x:f>
        <x:v>|</x:v>
      </x:c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2"/>
      <x:c r="D174" s="41"/>
      <x:c r="E174" s="41"/>
      <x:c r="F174" s="41"/>
      <x:c r="G174" s="48"/>
      <x:c r="H174" s="48"/>
      <x:c r="I174" s="48" t="n">
        <x:f>IF(J174="Disetujui",G174*H174,0)</x:f>
        <x:v>0</x:v>
      </x:c>
      <x:c r="J174" s="41"/>
      <x:c r="K174" s="41"/>
      <x:c r="L174" s="41" t="str">
        <x:f>A174&amp;"|"&amp;B174</x:f>
        <x:v>|</x:v>
      </x:c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2"/>
      <x:c r="D175" s="41"/>
      <x:c r="E175" s="41"/>
      <x:c r="F175" s="41"/>
      <x:c r="G175" s="48"/>
      <x:c r="H175" s="48"/>
      <x:c r="I175" s="48" t="n">
        <x:f>IF(J175="Disetujui",G175*H175,0)</x:f>
        <x:v>0</x:v>
      </x:c>
      <x:c r="J175" s="41"/>
      <x:c r="K175" s="41"/>
      <x:c r="L175" s="41" t="str">
        <x:f>A175&amp;"|"&amp;B175</x:f>
        <x:v>|</x:v>
      </x:c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2"/>
      <x:c r="D176" s="41"/>
      <x:c r="E176" s="41"/>
      <x:c r="F176" s="41"/>
      <x:c r="G176" s="48"/>
      <x:c r="H176" s="48"/>
      <x:c r="I176" s="48" t="n">
        <x:f>IF(J176="Disetujui",G176*H176,0)</x:f>
        <x:v>0</x:v>
      </x:c>
      <x:c r="J176" s="41"/>
      <x:c r="K176" s="41"/>
      <x:c r="L176" s="41" t="str">
        <x:f>A176&amp;"|"&amp;B176</x:f>
        <x:v>|</x:v>
      </x:c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2"/>
      <x:c r="D177" s="41"/>
      <x:c r="E177" s="41"/>
      <x:c r="F177" s="41"/>
      <x:c r="G177" s="48"/>
      <x:c r="H177" s="48"/>
      <x:c r="I177" s="48" t="n">
        <x:f>IF(J177="Disetujui",G177*H177,0)</x:f>
        <x:v>0</x:v>
      </x:c>
      <x:c r="J177" s="41"/>
      <x:c r="K177" s="41"/>
      <x:c r="L177" s="41" t="str">
        <x:f>A177&amp;"|"&amp;B177</x:f>
        <x:v>|</x:v>
      </x:c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2"/>
      <x:c r="D178" s="41"/>
      <x:c r="E178" s="41"/>
      <x:c r="F178" s="41"/>
      <x:c r="G178" s="48"/>
      <x:c r="H178" s="48"/>
      <x:c r="I178" s="48" t="n">
        <x:f>IF(J178="Disetujui",G178*H178,0)</x:f>
        <x:v>0</x:v>
      </x:c>
      <x:c r="J178" s="41"/>
      <x:c r="K178" s="41"/>
      <x:c r="L178" s="41" t="str">
        <x:f>A178&amp;"|"&amp;B178</x:f>
        <x:v>|</x:v>
      </x:c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2"/>
      <x:c r="D179" s="41"/>
      <x:c r="E179" s="41"/>
      <x:c r="F179" s="41"/>
      <x:c r="G179" s="48"/>
      <x:c r="H179" s="48"/>
      <x:c r="I179" s="48" t="n">
        <x:f>IF(J179="Disetujui",G179*H179,0)</x:f>
        <x:v>0</x:v>
      </x:c>
      <x:c r="J179" s="41"/>
      <x:c r="K179" s="41"/>
      <x:c r="L179" s="41" t="str">
        <x:f>A179&amp;"|"&amp;B179</x:f>
        <x:v>|</x:v>
      </x:c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2"/>
      <x:c r="D180" s="41"/>
      <x:c r="E180" s="41"/>
      <x:c r="F180" s="41"/>
      <x:c r="G180" s="48"/>
      <x:c r="H180" s="48"/>
      <x:c r="I180" s="48" t="n">
        <x:f>IF(J180="Disetujui",G180*H180,0)</x:f>
        <x:v>0</x:v>
      </x:c>
      <x:c r="J180" s="41"/>
      <x:c r="K180" s="41"/>
      <x:c r="L180" s="41" t="str">
        <x:f>A180&amp;"|"&amp;B180</x:f>
        <x:v>|</x:v>
      </x:c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2"/>
      <x:c r="D181" s="41"/>
      <x:c r="E181" s="41"/>
      <x:c r="F181" s="41"/>
      <x:c r="G181" s="48"/>
      <x:c r="H181" s="48"/>
      <x:c r="I181" s="48" t="n">
        <x:f>IF(J181="Disetujui",G181*H181,0)</x:f>
        <x:v>0</x:v>
      </x:c>
      <x:c r="J181" s="41"/>
      <x:c r="K181" s="41"/>
      <x:c r="L181" s="41" t="str">
        <x:f>A181&amp;"|"&amp;B181</x:f>
        <x:v>|</x:v>
      </x:c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2"/>
      <x:c r="D182" s="41"/>
      <x:c r="E182" s="41"/>
      <x:c r="F182" s="41"/>
      <x:c r="G182" s="48"/>
      <x:c r="H182" s="48"/>
      <x:c r="I182" s="48" t="n">
        <x:f>IF(J182="Disetujui",G182*H182,0)</x:f>
        <x:v>0</x:v>
      </x:c>
      <x:c r="J182" s="41"/>
      <x:c r="K182" s="41"/>
      <x:c r="L182" s="41" t="str">
        <x:f>A182&amp;"|"&amp;B182</x:f>
        <x:v>|</x:v>
      </x:c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2"/>
      <x:c r="D183" s="41"/>
      <x:c r="E183" s="41"/>
      <x:c r="F183" s="41"/>
      <x:c r="G183" s="48"/>
      <x:c r="H183" s="48"/>
      <x:c r="I183" s="48" t="n">
        <x:f>IF(J183="Disetujui",G183*H183,0)</x:f>
        <x:v>0</x:v>
      </x:c>
      <x:c r="J183" s="41"/>
      <x:c r="K183" s="41"/>
      <x:c r="L183" s="41" t="str">
        <x:f>A183&amp;"|"&amp;B183</x:f>
        <x:v>|</x:v>
      </x:c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2"/>
      <x:c r="D184" s="41"/>
      <x:c r="E184" s="41"/>
      <x:c r="F184" s="41"/>
      <x:c r="G184" s="48"/>
      <x:c r="H184" s="48"/>
      <x:c r="I184" s="48" t="n">
        <x:f>IF(J184="Disetujui",G184*H184,0)</x:f>
        <x:v>0</x:v>
      </x:c>
      <x:c r="J184" s="41"/>
      <x:c r="K184" s="41"/>
      <x:c r="L184" s="41" t="str">
        <x:f>A184&amp;"|"&amp;B184</x:f>
        <x:v>|</x:v>
      </x:c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2"/>
      <x:c r="D185" s="41"/>
      <x:c r="E185" s="41"/>
      <x:c r="F185" s="41"/>
      <x:c r="G185" s="48"/>
      <x:c r="H185" s="48"/>
      <x:c r="I185" s="48" t="n">
        <x:f>IF(J185="Disetujui",G185*H185,0)</x:f>
        <x:v>0</x:v>
      </x:c>
      <x:c r="J185" s="41"/>
      <x:c r="K185" s="41"/>
      <x:c r="L185" s="41" t="str">
        <x:f>A185&amp;"|"&amp;B185</x:f>
        <x:v>|</x:v>
      </x:c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2"/>
      <x:c r="D186" s="41"/>
      <x:c r="E186" s="41"/>
      <x:c r="F186" s="41"/>
      <x:c r="G186" s="48"/>
      <x:c r="H186" s="48"/>
      <x:c r="I186" s="48" t="n">
        <x:f>IF(J186="Disetujui",G186*H186,0)</x:f>
        <x:v>0</x:v>
      </x:c>
      <x:c r="J186" s="41"/>
      <x:c r="K186" s="41"/>
      <x:c r="L186" s="41" t="str">
        <x:f>A186&amp;"|"&amp;B186</x:f>
        <x:v>|</x:v>
      </x:c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2"/>
      <x:c r="D187" s="41"/>
      <x:c r="E187" s="41"/>
      <x:c r="F187" s="41"/>
      <x:c r="G187" s="48"/>
      <x:c r="H187" s="48"/>
      <x:c r="I187" s="48" t="n">
        <x:f>IF(J187="Disetujui",G187*H187,0)</x:f>
        <x:v>0</x:v>
      </x:c>
      <x:c r="J187" s="41"/>
      <x:c r="K187" s="41"/>
      <x:c r="L187" s="41" t="str">
        <x:f>A187&amp;"|"&amp;B187</x:f>
        <x:v>|</x:v>
      </x:c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2"/>
      <x:c r="D188" s="41"/>
      <x:c r="E188" s="41"/>
      <x:c r="F188" s="41"/>
      <x:c r="G188" s="48"/>
      <x:c r="H188" s="48"/>
      <x:c r="I188" s="48" t="n">
        <x:f>IF(J188="Disetujui",G188*H188,0)</x:f>
        <x:v>0</x:v>
      </x:c>
      <x:c r="J188" s="41"/>
      <x:c r="K188" s="41"/>
      <x:c r="L188" s="41" t="str">
        <x:f>A188&amp;"|"&amp;B188</x:f>
        <x:v>|</x:v>
      </x:c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2"/>
      <x:c r="D189" s="41"/>
      <x:c r="E189" s="41"/>
      <x:c r="F189" s="41"/>
      <x:c r="G189" s="48"/>
      <x:c r="H189" s="48"/>
      <x:c r="I189" s="48" t="n">
        <x:f>IF(J189="Disetujui",G189*H189,0)</x:f>
        <x:v>0</x:v>
      </x:c>
      <x:c r="J189" s="41"/>
      <x:c r="K189" s="41"/>
      <x:c r="L189" s="41" t="str">
        <x:f>A189&amp;"|"&amp;B189</x:f>
        <x:v>|</x:v>
      </x:c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2"/>
      <x:c r="D190" s="41"/>
      <x:c r="E190" s="41"/>
      <x:c r="F190" s="41"/>
      <x:c r="G190" s="48"/>
      <x:c r="H190" s="48"/>
      <x:c r="I190" s="48" t="n">
        <x:f>IF(J190="Disetujui",G190*H190,0)</x:f>
        <x:v>0</x:v>
      </x:c>
      <x:c r="J190" s="41"/>
      <x:c r="K190" s="41"/>
      <x:c r="L190" s="41" t="str">
        <x:f>A190&amp;"|"&amp;B190</x:f>
        <x:v>|</x:v>
      </x:c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2"/>
      <x:c r="D191" s="41"/>
      <x:c r="E191" s="41"/>
      <x:c r="F191" s="41"/>
      <x:c r="G191" s="48"/>
      <x:c r="H191" s="48"/>
      <x:c r="I191" s="48" t="n">
        <x:f>IF(J191="Disetujui",G191*H191,0)</x:f>
        <x:v>0</x:v>
      </x:c>
      <x:c r="J191" s="41"/>
      <x:c r="K191" s="41"/>
      <x:c r="L191" s="41" t="str">
        <x:f>A191&amp;"|"&amp;B191</x:f>
        <x:v>|</x:v>
      </x:c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2"/>
      <x:c r="D192" s="41"/>
      <x:c r="E192" s="41"/>
      <x:c r="F192" s="41"/>
      <x:c r="G192" s="48"/>
      <x:c r="H192" s="48"/>
      <x:c r="I192" s="48" t="n">
        <x:f>IF(J192="Disetujui",G192*H192,0)</x:f>
        <x:v>0</x:v>
      </x:c>
      <x:c r="J192" s="41"/>
      <x:c r="K192" s="41"/>
      <x:c r="L192" s="41" t="str">
        <x:f>A192&amp;"|"&amp;B192</x:f>
        <x:v>|</x:v>
      </x:c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2"/>
      <x:c r="D193" s="41"/>
      <x:c r="E193" s="41"/>
      <x:c r="F193" s="41"/>
      <x:c r="G193" s="48"/>
      <x:c r="H193" s="48"/>
      <x:c r="I193" s="48" t="n">
        <x:f>IF(J193="Disetujui",G193*H193,0)</x:f>
        <x:v>0</x:v>
      </x:c>
      <x:c r="J193" s="41"/>
      <x:c r="K193" s="41"/>
      <x:c r="L193" s="41" t="str">
        <x:f>A193&amp;"|"&amp;B193</x:f>
        <x:v>|</x:v>
      </x:c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2"/>
      <x:c r="D194" s="41"/>
      <x:c r="E194" s="41"/>
      <x:c r="F194" s="41"/>
      <x:c r="G194" s="48"/>
      <x:c r="H194" s="48"/>
      <x:c r="I194" s="48" t="n">
        <x:f>IF(J194="Disetujui",G194*H194,0)</x:f>
        <x:v>0</x:v>
      </x:c>
      <x:c r="J194" s="41"/>
      <x:c r="K194" s="41"/>
      <x:c r="L194" s="41" t="str">
        <x:f>A194&amp;"|"&amp;B194</x:f>
        <x:v>|</x:v>
      </x:c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2"/>
      <x:c r="D195" s="41"/>
      <x:c r="E195" s="41"/>
      <x:c r="F195" s="41"/>
      <x:c r="G195" s="48"/>
      <x:c r="H195" s="48"/>
      <x:c r="I195" s="48" t="n">
        <x:f>IF(J195="Disetujui",G195*H195,0)</x:f>
        <x:v>0</x:v>
      </x:c>
      <x:c r="J195" s="41"/>
      <x:c r="K195" s="41"/>
      <x:c r="L195" s="41" t="str">
        <x:f>A195&amp;"|"&amp;B195</x:f>
        <x:v>|</x:v>
      </x:c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2"/>
      <x:c r="D196" s="41"/>
      <x:c r="E196" s="41"/>
      <x:c r="F196" s="41"/>
      <x:c r="G196" s="48"/>
      <x:c r="H196" s="48"/>
      <x:c r="I196" s="48" t="n">
        <x:f>IF(J196="Disetujui",G196*H196,0)</x:f>
        <x:v>0</x:v>
      </x:c>
      <x:c r="J196" s="41"/>
      <x:c r="K196" s="41"/>
      <x:c r="L196" s="41" t="str">
        <x:f>A196&amp;"|"&amp;B196</x:f>
        <x:v>|</x:v>
      </x:c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2"/>
      <x:c r="D197" s="41"/>
      <x:c r="E197" s="41"/>
      <x:c r="F197" s="41"/>
      <x:c r="G197" s="48"/>
      <x:c r="H197" s="48"/>
      <x:c r="I197" s="48" t="n">
        <x:f>IF(J197="Disetujui",G197*H197,0)</x:f>
        <x:v>0</x:v>
      </x:c>
      <x:c r="J197" s="41"/>
      <x:c r="K197" s="41"/>
      <x:c r="L197" s="41" t="str">
        <x:f>A197&amp;"|"&amp;B197</x:f>
        <x:v>|</x:v>
      </x:c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2"/>
      <x:c r="D198" s="41"/>
      <x:c r="E198" s="41"/>
      <x:c r="F198" s="41"/>
      <x:c r="G198" s="48"/>
      <x:c r="H198" s="48"/>
      <x:c r="I198" s="48" t="n">
        <x:f>IF(J198="Disetujui",G198*H198,0)</x:f>
        <x:v>0</x:v>
      </x:c>
      <x:c r="J198" s="41"/>
      <x:c r="K198" s="41"/>
      <x:c r="L198" s="41" t="str">
        <x:f>A198&amp;"|"&amp;B198</x:f>
        <x:v>|</x:v>
      </x:c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2"/>
      <x:c r="D199" s="41"/>
      <x:c r="E199" s="41"/>
      <x:c r="F199" s="41"/>
      <x:c r="G199" s="48"/>
      <x:c r="H199" s="48"/>
      <x:c r="I199" s="48" t="n">
        <x:f>IF(J199="Disetujui",G199*H199,0)</x:f>
        <x:v>0</x:v>
      </x:c>
      <x:c r="J199" s="41"/>
      <x:c r="K199" s="41"/>
      <x:c r="L199" s="41" t="str">
        <x:f>A199&amp;"|"&amp;B199</x:f>
        <x:v>|</x:v>
      </x:c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2"/>
      <x:c r="D200" s="41"/>
      <x:c r="E200" s="41"/>
      <x:c r="F200" s="41"/>
      <x:c r="G200" s="48"/>
      <x:c r="H200" s="48"/>
      <x:c r="I200" s="48" t="n">
        <x:f>IF(J200="Disetujui",G200*H200,0)</x:f>
        <x:v>0</x:v>
      </x:c>
      <x:c r="J200" s="41"/>
      <x:c r="K200" s="41"/>
      <x:c r="L200" s="41" t="str">
        <x:f>A200&amp;"|"&amp;B200</x:f>
        <x:v>|</x:v>
      </x:c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  <x:row r="201">
      <x:c r="C201" s="34"/>
      <x:c r="G201" s="38"/>
      <x:c r="H201" s="38"/>
      <x:c r="I201" s="38" t="n">
        <x:f>IF(J201="Disetujui",G201*H201,0)</x:f>
        <x:v>0</x:v>
      </x:c>
      <x:c r="L201" t="str">
        <x:f>A201&amp;"|"&amp;B201</x:f>
        <x:v>|</x:v>
      </x:c>
    </x:row>
    <x:row r="202">
      <x:c r="C202" s="34"/>
      <x:c r="G202" s="38"/>
      <x:c r="H202" s="38"/>
      <x:c r="I202" s="38" t="n">
        <x:f>IF(J202="Disetujui",G202*H202,0)</x:f>
        <x:v>0</x:v>
      </x:c>
      <x:c r="L202" t="str">
        <x:f>A202&amp;"|"&amp;B202</x:f>
        <x:v>|</x:v>
      </x:c>
    </x:row>
    <x:row r="203">
      <x:c r="C203" s="34"/>
      <x:c r="G203" s="38"/>
      <x:c r="H203" s="38"/>
      <x:c r="I203" s="38" t="n">
        <x:f>IF(J203="Disetujui",G203*H203,0)</x:f>
        <x:v>0</x:v>
      </x:c>
      <x:c r="L203" t="str">
        <x:f>A203&amp;"|"&amp;B203</x:f>
        <x:v>|</x:v>
      </x:c>
    </x:row>
    <x:row r="204">
      <x:c r="C204" s="34"/>
      <x:c r="G204" s="38"/>
      <x:c r="H204" s="38"/>
      <x:c r="I204" s="38" t="n">
        <x:f>IF(J204="Disetujui",G204*H204,0)</x:f>
        <x:v>0</x:v>
      </x:c>
      <x:c r="L204" t="str">
        <x:f>A204&amp;"|"&amp;B204</x:f>
        <x:v>|</x:v>
      </x:c>
    </x:row>
    <x:row r="205">
      <x:c r="C205" s="34"/>
      <x:c r="G205" s="38"/>
      <x:c r="H205" s="38"/>
      <x:c r="I205" s="38" t="n">
        <x:f>IF(J205="Disetujui",G205*H205,0)</x:f>
        <x:v>0</x:v>
      </x:c>
      <x:c r="L205" t="str">
        <x:f>A205&amp;"|"&amp;B205</x:f>
        <x:v>|</x:v>
      </x:c>
    </x:row>
    <x:row r="206">
      <x:c r="C206" s="34"/>
      <x:c r="G206" s="38"/>
      <x:c r="H206" s="38"/>
      <x:c r="I206" s="38" t="n">
        <x:f>IF(J206="Disetujui",G206*H206,0)</x:f>
        <x:v>0</x:v>
      </x:c>
      <x:c r="L206" t="str">
        <x:f>A206&amp;"|"&amp;B206</x:f>
        <x:v>|</x:v>
      </x:c>
    </x:row>
    <x:row r="207">
      <x:c r="C207" s="34"/>
      <x:c r="G207" s="38"/>
      <x:c r="H207" s="38"/>
      <x:c r="I207" s="38" t="n">
        <x:f>IF(J207="Disetujui",G207*H207,0)</x:f>
        <x:v>0</x:v>
      </x:c>
      <x:c r="L207" t="str">
        <x:f>A207&amp;"|"&amp;B207</x:f>
        <x:v>|</x:v>
      </x:c>
    </x:row>
    <x:row r="208">
      <x:c r="C208" s="34"/>
      <x:c r="G208" s="38"/>
      <x:c r="H208" s="38"/>
      <x:c r="I208" s="38" t="n">
        <x:f>IF(J208="Disetujui",G208*H208,0)</x:f>
        <x:v>0</x:v>
      </x:c>
      <x:c r="L208" t="str">
        <x:f>A208&amp;"|"&amp;B208</x:f>
        <x:v>|</x:v>
      </x:c>
    </x:row>
    <x:row r="209">
      <x:c r="C209" s="34"/>
      <x:c r="G209" s="38"/>
      <x:c r="H209" s="38"/>
      <x:c r="I209" s="38" t="n">
        <x:f>IF(J209="Disetujui",G209*H209,0)</x:f>
        <x:v>0</x:v>
      </x:c>
      <x:c r="L209" t="str">
        <x:f>A209&amp;"|"&amp;B209</x:f>
        <x:v>|</x:v>
      </x:c>
    </x:row>
    <x:row r="210">
      <x:c r="C210" s="34"/>
      <x:c r="G210" s="38"/>
      <x:c r="H210" s="38"/>
      <x:c r="I210" s="38" t="n">
        <x:f>IF(J210="Disetujui",G210*H210,0)</x:f>
        <x:v>0</x:v>
      </x:c>
      <x:c r="L210" t="str">
        <x:f>A210&amp;"|"&amp;B210</x:f>
        <x:v>|</x:v>
      </x:c>
    </x:row>
    <x:row r="211">
      <x:c r="C211" s="34"/>
      <x:c r="G211" s="38"/>
      <x:c r="H211" s="38"/>
      <x:c r="I211" s="38" t="n">
        <x:f>IF(J211="Disetujui",G211*H211,0)</x:f>
        <x:v>0</x:v>
      </x:c>
      <x:c r="L211" t="str">
        <x:f>A211&amp;"|"&amp;B211</x:f>
        <x:v>|</x:v>
      </x:c>
    </x:row>
    <x:row r="212">
      <x:c r="C212" s="34"/>
      <x:c r="G212" s="38"/>
      <x:c r="H212" s="38"/>
      <x:c r="I212" s="38" t="n">
        <x:f>IF(J212="Disetujui",G212*H212,0)</x:f>
        <x:v>0</x:v>
      </x:c>
      <x:c r="L212" t="str">
        <x:f>A212&amp;"|"&amp;B212</x:f>
        <x:v>|</x:v>
      </x:c>
    </x:row>
    <x:row r="213">
      <x:c r="C213" s="34"/>
      <x:c r="G213" s="38"/>
      <x:c r="H213" s="38"/>
      <x:c r="I213" s="38" t="n">
        <x:f>IF(J213="Disetujui",G213*H213,0)</x:f>
        <x:v>0</x:v>
      </x:c>
      <x:c r="L213" t="str">
        <x:f>A213&amp;"|"&amp;B213</x:f>
        <x:v>|</x:v>
      </x:c>
    </x:row>
    <x:row r="214">
      <x:c r="C214" s="34"/>
      <x:c r="G214" s="38"/>
      <x:c r="H214" s="38"/>
      <x:c r="I214" s="38" t="n">
        <x:f>IF(J214="Disetujui",G214*H214,0)</x:f>
        <x:v>0</x:v>
      </x:c>
      <x:c r="L214" t="str">
        <x:f>A214&amp;"|"&amp;B214</x:f>
        <x:v>|</x:v>
      </x:c>
    </x:row>
    <x:row r="215">
      <x:c r="C215" s="34"/>
      <x:c r="G215" s="38"/>
      <x:c r="H215" s="38"/>
      <x:c r="I215" s="38" t="n">
        <x:f>IF(J215="Disetujui",G215*H215,0)</x:f>
        <x:v>0</x:v>
      </x:c>
      <x:c r="L215" t="str">
        <x:f>A215&amp;"|"&amp;B215</x:f>
        <x:v>|</x:v>
      </x:c>
    </x:row>
    <x:row r="216">
      <x:c r="C216" s="34"/>
      <x:c r="G216" s="38"/>
      <x:c r="H216" s="38"/>
      <x:c r="I216" s="38" t="n">
        <x:f>IF(J216="Disetujui",G216*H216,0)</x:f>
        <x:v>0</x:v>
      </x:c>
      <x:c r="L216" t="str">
        <x:f>A216&amp;"|"&amp;B216</x:f>
        <x:v>|</x:v>
      </x:c>
    </x:row>
    <x:row r="217">
      <x:c r="C217" s="34"/>
      <x:c r="G217" s="38"/>
      <x:c r="H217" s="38"/>
      <x:c r="I217" s="38" t="n">
        <x:f>IF(J217="Disetujui",G217*H217,0)</x:f>
        <x:v>0</x:v>
      </x:c>
      <x:c r="L217" t="str">
        <x:f>A217&amp;"|"&amp;B217</x:f>
        <x:v>|</x:v>
      </x:c>
    </x:row>
    <x:row r="218">
      <x:c r="C218" s="34"/>
      <x:c r="G218" s="38"/>
      <x:c r="H218" s="38"/>
      <x:c r="I218" s="38" t="n">
        <x:f>IF(J218="Disetujui",G218*H218,0)</x:f>
        <x:v>0</x:v>
      </x:c>
      <x:c r="L218" t="str">
        <x:f>A218&amp;"|"&amp;B218</x:f>
        <x:v>|</x:v>
      </x:c>
    </x:row>
    <x:row r="219">
      <x:c r="C219" s="34"/>
      <x:c r="G219" s="38"/>
      <x:c r="H219" s="38"/>
      <x:c r="I219" s="38" t="n">
        <x:f>IF(J219="Disetujui",G219*H219,0)</x:f>
        <x:v>0</x:v>
      </x:c>
      <x:c r="L219" t="str">
        <x:f>A219&amp;"|"&amp;B219</x:f>
        <x:v>|</x:v>
      </x:c>
    </x:row>
    <x:row r="220">
      <x:c r="C220" s="34"/>
      <x:c r="G220" s="38"/>
      <x:c r="H220" s="38"/>
      <x:c r="I220" s="38" t="n">
        <x:f>IF(J220="Disetujui",G220*H220,0)</x:f>
        <x:v>0</x:v>
      </x:c>
      <x:c r="L220" t="str">
        <x:f>A220&amp;"|"&amp;B220</x:f>
        <x:v>|</x:v>
      </x:c>
    </x:row>
    <x:row r="221">
      <x:c r="C221" s="34"/>
      <x:c r="G221" s="38"/>
      <x:c r="H221" s="38"/>
      <x:c r="I221" s="38" t="n">
        <x:f>IF(J221="Disetujui",G221*H221,0)</x:f>
        <x:v>0</x:v>
      </x:c>
      <x:c r="L221" t="str">
        <x:f>A221&amp;"|"&amp;B221</x:f>
        <x:v>|</x:v>
      </x:c>
    </x:row>
    <x:row r="222">
      <x:c r="C222" s="34"/>
      <x:c r="G222" s="38"/>
      <x:c r="H222" s="38"/>
      <x:c r="I222" s="38" t="n">
        <x:f>IF(J222="Disetujui",G222*H222,0)</x:f>
        <x:v>0</x:v>
      </x:c>
      <x:c r="L222" t="str">
        <x:f>A222&amp;"|"&amp;B222</x:f>
        <x:v>|</x:v>
      </x:c>
    </x:row>
    <x:row r="223">
      <x:c r="C223" s="34"/>
      <x:c r="G223" s="38"/>
      <x:c r="H223" s="38"/>
      <x:c r="I223" s="38" t="n">
        <x:f>IF(J223="Disetujui",G223*H223,0)</x:f>
        <x:v>0</x:v>
      </x:c>
      <x:c r="L223" t="str">
        <x:f>A223&amp;"|"&amp;B223</x:f>
        <x:v>|</x:v>
      </x:c>
    </x:row>
    <x:row r="224">
      <x:c r="C224" s="34"/>
      <x:c r="G224" s="38"/>
      <x:c r="H224" s="38"/>
      <x:c r="I224" s="38" t="n">
        <x:f>IF(J224="Disetujui",G224*H224,0)</x:f>
        <x:v>0</x:v>
      </x:c>
      <x:c r="L224" t="str">
        <x:f>A224&amp;"|"&amp;B224</x:f>
        <x:v>|</x:v>
      </x:c>
    </x:row>
    <x:row r="225">
      <x:c r="C225" s="34"/>
      <x:c r="G225" s="38"/>
      <x:c r="H225" s="38"/>
      <x:c r="I225" s="38" t="n">
        <x:f>IF(J225="Disetujui",G225*H225,0)</x:f>
        <x:v>0</x:v>
      </x:c>
      <x:c r="L225" t="str">
        <x:f>A225&amp;"|"&amp;B225</x:f>
        <x:v>|</x:v>
      </x:c>
    </x:row>
    <x:row r="226">
      <x:c r="C226" s="34"/>
      <x:c r="G226" s="38"/>
      <x:c r="H226" s="38"/>
      <x:c r="I226" s="38" t="n">
        <x:f>IF(J226="Disetujui",G226*H226,0)</x:f>
        <x:v>0</x:v>
      </x:c>
      <x:c r="L226" t="str">
        <x:f>A226&amp;"|"&amp;B226</x:f>
        <x:v>|</x:v>
      </x:c>
    </x:row>
    <x:row r="227">
      <x:c r="C227" s="34"/>
      <x:c r="G227" s="38"/>
      <x:c r="H227" s="38"/>
      <x:c r="I227" s="38" t="n">
        <x:f>IF(J227="Disetujui",G227*H227,0)</x:f>
        <x:v>0</x:v>
      </x:c>
      <x:c r="L227" t="str">
        <x:f>A227&amp;"|"&amp;B227</x:f>
        <x:v>|</x:v>
      </x:c>
    </x:row>
    <x:row r="228">
      <x:c r="C228" s="34"/>
      <x:c r="G228" s="38"/>
      <x:c r="H228" s="38"/>
      <x:c r="I228" s="38" t="n">
        <x:f>IF(J228="Disetujui",G228*H228,0)</x:f>
        <x:v>0</x:v>
      </x:c>
      <x:c r="L228" t="str">
        <x:f>A228&amp;"|"&amp;B228</x:f>
        <x:v>|</x:v>
      </x:c>
    </x:row>
    <x:row r="229">
      <x:c r="C229" s="34"/>
      <x:c r="G229" s="38"/>
      <x:c r="H229" s="38"/>
      <x:c r="I229" s="38" t="n">
        <x:f>IF(J229="Disetujui",G229*H229,0)</x:f>
        <x:v>0</x:v>
      </x:c>
      <x:c r="L229" t="str">
        <x:f>A229&amp;"|"&amp;B229</x:f>
        <x:v>|</x:v>
      </x:c>
    </x:row>
    <x:row r="230">
      <x:c r="C230" s="34"/>
      <x:c r="G230" s="38"/>
      <x:c r="H230" s="38"/>
      <x:c r="I230" s="38" t="n">
        <x:f>IF(J230="Disetujui",G230*H230,0)</x:f>
        <x:v>0</x:v>
      </x:c>
      <x:c r="L230" t="str">
        <x:f>A230&amp;"|"&amp;B230</x:f>
        <x:v>|</x:v>
      </x:c>
    </x:row>
    <x:row r="231">
      <x:c r="C231" s="34"/>
      <x:c r="G231" s="38"/>
      <x:c r="H231" s="38"/>
      <x:c r="I231" s="38" t="n">
        <x:f>IF(J231="Disetujui",G231*H231,0)</x:f>
        <x:v>0</x:v>
      </x:c>
      <x:c r="L231" t="str">
        <x:f>A231&amp;"|"&amp;B231</x:f>
        <x:v>|</x:v>
      </x:c>
    </x:row>
    <x:row r="232">
      <x:c r="C232" s="34"/>
      <x:c r="G232" s="38"/>
      <x:c r="H232" s="38"/>
      <x:c r="I232" s="38" t="n">
        <x:f>IF(J232="Disetujui",G232*H232,0)</x:f>
        <x:v>0</x:v>
      </x:c>
      <x:c r="L232" t="str">
        <x:f>A232&amp;"|"&amp;B232</x:f>
        <x:v>|</x:v>
      </x:c>
    </x:row>
    <x:row r="233">
      <x:c r="C233" s="34"/>
      <x:c r="G233" s="38"/>
      <x:c r="H233" s="38"/>
      <x:c r="I233" s="38" t="n">
        <x:f>IF(J233="Disetujui",G233*H233,0)</x:f>
        <x:v>0</x:v>
      </x:c>
      <x:c r="L233" t="str">
        <x:f>A233&amp;"|"&amp;B233</x:f>
        <x:v>|</x:v>
      </x:c>
    </x:row>
    <x:row r="234">
      <x:c r="C234" s="34"/>
      <x:c r="G234" s="38"/>
      <x:c r="H234" s="38"/>
      <x:c r="I234" s="38" t="n">
        <x:f>IF(J234="Disetujui",G234*H234,0)</x:f>
        <x:v>0</x:v>
      </x:c>
      <x:c r="L234" t="str">
        <x:f>A234&amp;"|"&amp;B234</x:f>
        <x:v>|</x:v>
      </x:c>
    </x:row>
    <x:row r="235">
      <x:c r="C235" s="34"/>
      <x:c r="G235" s="38"/>
      <x:c r="H235" s="38"/>
      <x:c r="I235" s="38" t="n">
        <x:f>IF(J235="Disetujui",G235*H235,0)</x:f>
        <x:v>0</x:v>
      </x:c>
      <x:c r="L235" t="str">
        <x:f>A235&amp;"|"&amp;B235</x:f>
        <x:v>|</x:v>
      </x:c>
    </x:row>
    <x:row r="236">
      <x:c r="C236" s="34"/>
      <x:c r="G236" s="38"/>
      <x:c r="H236" s="38"/>
      <x:c r="I236" s="38" t="n">
        <x:f>IF(J236="Disetujui",G236*H236,0)</x:f>
        <x:v>0</x:v>
      </x:c>
      <x:c r="L236" t="str">
        <x:f>A236&amp;"|"&amp;B236</x:f>
        <x:v>|</x:v>
      </x:c>
    </x:row>
    <x:row r="237">
      <x:c r="C237" s="34"/>
      <x:c r="G237" s="38"/>
      <x:c r="H237" s="38"/>
      <x:c r="I237" s="38" t="n">
        <x:f>IF(J237="Disetujui",G237*H237,0)</x:f>
        <x:v>0</x:v>
      </x:c>
      <x:c r="L237" t="str">
        <x:f>A237&amp;"|"&amp;B237</x:f>
        <x:v>|</x:v>
      </x:c>
    </x:row>
    <x:row r="238">
      <x:c r="C238" s="34"/>
      <x:c r="G238" s="38"/>
      <x:c r="H238" s="38"/>
      <x:c r="I238" s="38" t="n">
        <x:f>IF(J238="Disetujui",G238*H238,0)</x:f>
        <x:v>0</x:v>
      </x:c>
      <x:c r="L238" t="str">
        <x:f>A238&amp;"|"&amp;B238</x:f>
        <x:v>|</x:v>
      </x:c>
    </x:row>
    <x:row r="239">
      <x:c r="C239" s="34"/>
      <x:c r="G239" s="38"/>
      <x:c r="H239" s="38"/>
      <x:c r="I239" s="38" t="n">
        <x:f>IF(J239="Disetujui",G239*H239,0)</x:f>
        <x:v>0</x:v>
      </x:c>
      <x:c r="L239" t="str">
        <x:f>A239&amp;"|"&amp;B239</x:f>
        <x:v>|</x:v>
      </x:c>
    </x:row>
    <x:row r="240">
      <x:c r="C240" s="34"/>
      <x:c r="G240" s="38"/>
      <x:c r="H240" s="38"/>
      <x:c r="I240" s="38" t="n">
        <x:f>IF(J240="Disetujui",G240*H240,0)</x:f>
        <x:v>0</x:v>
      </x:c>
      <x:c r="L240" t="str">
        <x:f>A240&amp;"|"&amp;B240</x:f>
        <x:v>|</x:v>
      </x:c>
    </x:row>
    <x:row r="241">
      <x:c r="C241" s="34"/>
      <x:c r="G241" s="38"/>
      <x:c r="H241" s="38"/>
      <x:c r="I241" s="38" t="n">
        <x:f>IF(J241="Disetujui",G241*H241,0)</x:f>
        <x:v>0</x:v>
      </x:c>
      <x:c r="L241" t="str">
        <x:f>A241&amp;"|"&amp;B241</x:f>
        <x:v>|</x:v>
      </x:c>
    </x:row>
    <x:row r="242">
      <x:c r="C242" s="34"/>
      <x:c r="G242" s="38"/>
      <x:c r="H242" s="38"/>
      <x:c r="I242" s="38" t="n">
        <x:f>IF(J242="Disetujui",G242*H242,0)</x:f>
        <x:v>0</x:v>
      </x:c>
      <x:c r="L242" t="str">
        <x:f>A242&amp;"|"&amp;B242</x:f>
        <x:v>|</x:v>
      </x:c>
    </x:row>
    <x:row r="243">
      <x:c r="C243" s="34"/>
      <x:c r="G243" s="38"/>
      <x:c r="H243" s="38"/>
      <x:c r="I243" s="38" t="n">
        <x:f>IF(J243="Disetujui",G243*H243,0)</x:f>
        <x:v>0</x:v>
      </x:c>
      <x:c r="L243" t="str">
        <x:f>A243&amp;"|"&amp;B243</x:f>
        <x:v>|</x:v>
      </x:c>
    </x:row>
    <x:row r="244">
      <x:c r="C244" s="34"/>
      <x:c r="G244" s="38"/>
      <x:c r="H244" s="38"/>
      <x:c r="I244" s="38" t="n">
        <x:f>IF(J244="Disetujui",G244*H244,0)</x:f>
        <x:v>0</x:v>
      </x:c>
      <x:c r="L244" t="str">
        <x:f>A244&amp;"|"&amp;B244</x:f>
        <x:v>|</x:v>
      </x:c>
    </x:row>
    <x:row r="245">
      <x:c r="C245" s="34"/>
      <x:c r="G245" s="38"/>
      <x:c r="H245" s="38"/>
      <x:c r="I245" s="38" t="n">
        <x:f>IF(J245="Disetujui",G245*H245,0)</x:f>
        <x:v>0</x:v>
      </x:c>
      <x:c r="L245" t="str">
        <x:f>A245&amp;"|"&amp;B245</x:f>
        <x:v>|</x:v>
      </x:c>
    </x:row>
    <x:row r="246">
      <x:c r="C246" s="34"/>
      <x:c r="G246" s="38"/>
      <x:c r="H246" s="38"/>
      <x:c r="I246" s="38" t="n">
        <x:f>IF(J246="Disetujui",G246*H246,0)</x:f>
        <x:v>0</x:v>
      </x:c>
      <x:c r="L246" t="str">
        <x:f>A246&amp;"|"&amp;B246</x:f>
        <x:v>|</x:v>
      </x:c>
    </x:row>
    <x:row r="247">
      <x:c r="C247" s="34"/>
      <x:c r="G247" s="38"/>
      <x:c r="H247" s="38"/>
      <x:c r="I247" s="38" t="n">
        <x:f>IF(J247="Disetujui",G247*H247,0)</x:f>
        <x:v>0</x:v>
      </x:c>
      <x:c r="L247" t="str">
        <x:f>A247&amp;"|"&amp;B247</x:f>
        <x:v>|</x:v>
      </x:c>
    </x:row>
    <x:row r="248">
      <x:c r="C248" s="34"/>
      <x:c r="G248" s="38"/>
      <x:c r="H248" s="38"/>
      <x:c r="I248" s="38" t="n">
        <x:f>IF(J248="Disetujui",G248*H248,0)</x:f>
        <x:v>0</x:v>
      </x:c>
      <x:c r="L248" t="str">
        <x:f>A248&amp;"|"&amp;B248</x:f>
        <x:v>|</x:v>
      </x:c>
    </x:row>
    <x:row r="249">
      <x:c r="C249" s="34"/>
      <x:c r="G249" s="38"/>
      <x:c r="H249" s="38"/>
      <x:c r="I249" s="38" t="n">
        <x:f>IF(J249="Disetujui",G249*H249,0)</x:f>
        <x:v>0</x:v>
      </x:c>
      <x:c r="L249" t="str">
        <x:f>A249&amp;"|"&amp;B249</x:f>
        <x:v>|</x:v>
      </x:c>
    </x:row>
    <x:row r="250">
      <x:c r="C250" s="34"/>
      <x:c r="G250" s="38"/>
      <x:c r="H250" s="38"/>
      <x:c r="I250" s="38" t="n">
        <x:f>IF(J250="Disetujui",G250*H250,0)</x:f>
        <x:v>0</x:v>
      </x:c>
      <x:c r="L250" t="str">
        <x:f>A250&amp;"|"&amp;B250</x:f>
        <x:v>|</x:v>
      </x:c>
    </x:row>
    <x:row r="251">
      <x:c r="C251" s="34"/>
      <x:c r="G251" s="38"/>
      <x:c r="H251" s="38"/>
      <x:c r="I251" s="38" t="n">
        <x:f>IF(J251="Disetujui",G251*H251,0)</x:f>
        <x:v>0</x:v>
      </x:c>
      <x:c r="L251" t="str">
        <x:f>A251&amp;"|"&amp;B251</x:f>
        <x:v>|</x:v>
      </x:c>
    </x:row>
    <x:row r="252">
      <x:c r="C252" s="34"/>
      <x:c r="G252" s="38"/>
      <x:c r="H252" s="38"/>
      <x:c r="I252" s="38" t="n">
        <x:f>IF(J252="Disetujui",G252*H252,0)</x:f>
        <x:v>0</x:v>
      </x:c>
      <x:c r="L252" t="str">
        <x:f>A252&amp;"|"&amp;B252</x:f>
        <x:v>|</x:v>
      </x:c>
    </x:row>
    <x:row r="253">
      <x:c r="C253" s="34"/>
      <x:c r="G253" s="38"/>
      <x:c r="H253" s="38"/>
      <x:c r="I253" s="38" t="n">
        <x:f>IF(J253="Disetujui",G253*H253,0)</x:f>
        <x:v>0</x:v>
      </x:c>
      <x:c r="L253" t="str">
        <x:f>A253&amp;"|"&amp;B253</x:f>
        <x:v>|</x:v>
      </x:c>
    </x:row>
    <x:row r="254">
      <x:c r="C254" s="34"/>
      <x:c r="G254" s="38"/>
      <x:c r="H254" s="38"/>
      <x:c r="I254" s="38" t="n">
        <x:f>IF(J254="Disetujui",G254*H254,0)</x:f>
        <x:v>0</x:v>
      </x:c>
      <x:c r="L254" t="str">
        <x:f>A254&amp;"|"&amp;B254</x:f>
        <x:v>|</x:v>
      </x:c>
    </x:row>
    <x:row r="255">
      <x:c r="C255" s="34"/>
      <x:c r="G255" s="38"/>
      <x:c r="H255" s="38"/>
      <x:c r="I255" s="38" t="n">
        <x:f>IF(J255="Disetujui",G255*H255,0)</x:f>
        <x:v>0</x:v>
      </x:c>
      <x:c r="L255" t="str">
        <x:f>A255&amp;"|"&amp;B255</x:f>
        <x:v>|</x:v>
      </x:c>
    </x:row>
    <x:row r="256">
      <x:c r="C256" s="34"/>
      <x:c r="G256" s="38"/>
      <x:c r="H256" s="38"/>
      <x:c r="I256" s="38" t="n">
        <x:f>IF(J256="Disetujui",G256*H256,0)</x:f>
        <x:v>0</x:v>
      </x:c>
      <x:c r="L256" t="str">
        <x:f>A256&amp;"|"&amp;B256</x:f>
        <x:v>|</x:v>
      </x:c>
    </x:row>
    <x:row r="257">
      <x:c r="C257" s="34"/>
      <x:c r="G257" s="38"/>
      <x:c r="H257" s="38"/>
      <x:c r="I257" s="38" t="n">
        <x:f>IF(J257="Disetujui",G257*H257,0)</x:f>
        <x:v>0</x:v>
      </x:c>
      <x:c r="L257" t="str">
        <x:f>A257&amp;"|"&amp;B257</x:f>
        <x:v>|</x:v>
      </x:c>
    </x:row>
    <x:row r="258">
      <x:c r="C258" s="34"/>
      <x:c r="G258" s="38"/>
      <x:c r="H258" s="38"/>
      <x:c r="I258" s="38" t="n">
        <x:f>IF(J258="Disetujui",G258*H258,0)</x:f>
        <x:v>0</x:v>
      </x:c>
      <x:c r="L258" t="str">
        <x:f>A258&amp;"|"&amp;B258</x:f>
        <x:v>|</x:v>
      </x:c>
    </x:row>
    <x:row r="259">
      <x:c r="C259" s="34"/>
      <x:c r="G259" s="38"/>
      <x:c r="H259" s="38"/>
      <x:c r="I259" s="38" t="n">
        <x:f>IF(J259="Disetujui",G259*H259,0)</x:f>
        <x:v>0</x:v>
      </x:c>
      <x:c r="L259" t="str">
        <x:f>A259&amp;"|"&amp;B259</x:f>
        <x:v>|</x:v>
      </x:c>
    </x:row>
    <x:row r="260">
      <x:c r="C260" s="34"/>
      <x:c r="G260" s="38"/>
      <x:c r="H260" s="38"/>
      <x:c r="I260" s="38" t="n">
        <x:f>IF(J260="Disetujui",G260*H260,0)</x:f>
        <x:v>0</x:v>
      </x:c>
      <x:c r="L260" t="str">
        <x:f>A260&amp;"|"&amp;B260</x:f>
        <x:v>|</x:v>
      </x:c>
    </x:row>
    <x:row r="261">
      <x:c r="C261" s="34"/>
      <x:c r="G261" s="38"/>
      <x:c r="H261" s="38"/>
      <x:c r="I261" s="38" t="n">
        <x:f>IF(J261="Disetujui",G261*H261,0)</x:f>
        <x:v>0</x:v>
      </x:c>
      <x:c r="L261" t="str">
        <x:f>A261&amp;"|"&amp;B261</x:f>
        <x:v>|</x:v>
      </x:c>
    </x:row>
    <x:row r="262">
      <x:c r="C262" s="34"/>
      <x:c r="G262" s="38"/>
      <x:c r="H262" s="38"/>
      <x:c r="I262" s="38" t="n">
        <x:f>IF(J262="Disetujui",G262*H262,0)</x:f>
        <x:v>0</x:v>
      </x:c>
      <x:c r="L262" t="str">
        <x:f>A262&amp;"|"&amp;B262</x:f>
        <x:v>|</x:v>
      </x:c>
    </x:row>
    <x:row r="263">
      <x:c r="C263" s="34"/>
      <x:c r="G263" s="38"/>
      <x:c r="H263" s="38"/>
      <x:c r="I263" s="38" t="n">
        <x:f>IF(J263="Disetujui",G263*H263,0)</x:f>
        <x:v>0</x:v>
      </x:c>
      <x:c r="L263" t="str">
        <x:f>A263&amp;"|"&amp;B263</x:f>
        <x:v>|</x:v>
      </x:c>
    </x:row>
    <x:row r="264">
      <x:c r="C264" s="34"/>
      <x:c r="G264" s="38"/>
      <x:c r="H264" s="38"/>
      <x:c r="I264" s="38" t="n">
        <x:f>IF(J264="Disetujui",G264*H264,0)</x:f>
        <x:v>0</x:v>
      </x:c>
      <x:c r="L264" t="str">
        <x:f>A264&amp;"|"&amp;B264</x:f>
        <x:v>|</x:v>
      </x:c>
    </x:row>
    <x:row r="265">
      <x:c r="C265" s="34"/>
      <x:c r="G265" s="38"/>
      <x:c r="H265" s="38"/>
      <x:c r="I265" s="38" t="n">
        <x:f>IF(J265="Disetujui",G265*H265,0)</x:f>
        <x:v>0</x:v>
      </x:c>
      <x:c r="L265" t="str">
        <x:f>A265&amp;"|"&amp;B265</x:f>
        <x:v>|</x:v>
      </x:c>
    </x:row>
    <x:row r="266">
      <x:c r="C266" s="34"/>
      <x:c r="G266" s="38"/>
      <x:c r="H266" s="38"/>
      <x:c r="I266" s="38" t="n">
        <x:f>IF(J266="Disetujui",G266*H266,0)</x:f>
        <x:v>0</x:v>
      </x:c>
      <x:c r="L266" t="str">
        <x:f>A266&amp;"|"&amp;B266</x:f>
        <x:v>|</x:v>
      </x:c>
    </x:row>
    <x:row r="267">
      <x:c r="C267" s="34"/>
      <x:c r="G267" s="38"/>
      <x:c r="H267" s="38"/>
      <x:c r="I267" s="38" t="n">
        <x:f>IF(J267="Disetujui",G267*H267,0)</x:f>
        <x:v>0</x:v>
      </x:c>
      <x:c r="L267" t="str">
        <x:f>A267&amp;"|"&amp;B267</x:f>
        <x:v>|</x:v>
      </x:c>
    </x:row>
    <x:row r="268">
      <x:c r="C268" s="34"/>
      <x:c r="G268" s="38"/>
      <x:c r="H268" s="38"/>
      <x:c r="I268" s="38" t="n">
        <x:f>IF(J268="Disetujui",G268*H268,0)</x:f>
        <x:v>0</x:v>
      </x:c>
      <x:c r="L268" t="str">
        <x:f>A268&amp;"|"&amp;B268</x:f>
        <x:v>|</x:v>
      </x:c>
    </x:row>
    <x:row r="269">
      <x:c r="C269" s="34"/>
      <x:c r="G269" s="38"/>
      <x:c r="H269" s="38"/>
      <x:c r="I269" s="38" t="n">
        <x:f>IF(J269="Disetujui",G269*H269,0)</x:f>
        <x:v>0</x:v>
      </x:c>
      <x:c r="L269" t="str">
        <x:f>A269&amp;"|"&amp;B269</x:f>
        <x:v>|</x:v>
      </x:c>
    </x:row>
    <x:row r="270">
      <x:c r="C270" s="34"/>
      <x:c r="G270" s="38"/>
      <x:c r="H270" s="38"/>
      <x:c r="I270" s="38" t="n">
        <x:f>IF(J270="Disetujui",G270*H270,0)</x:f>
        <x:v>0</x:v>
      </x:c>
      <x:c r="L270" t="str">
        <x:f>A270&amp;"|"&amp;B270</x:f>
        <x:v>|</x:v>
      </x:c>
    </x:row>
    <x:row r="271">
      <x:c r="C271" s="34"/>
      <x:c r="G271" s="38"/>
      <x:c r="H271" s="38"/>
      <x:c r="I271" s="38" t="n">
        <x:f>IF(J271="Disetujui",G271*H271,0)</x:f>
        <x:v>0</x:v>
      </x:c>
      <x:c r="L271" t="str">
        <x:f>A271&amp;"|"&amp;B271</x:f>
        <x:v>|</x:v>
      </x:c>
    </x:row>
    <x:row r="272">
      <x:c r="C272" s="34"/>
      <x:c r="G272" s="38"/>
      <x:c r="H272" s="38"/>
      <x:c r="I272" s="38" t="n">
        <x:f>IF(J272="Disetujui",G272*H272,0)</x:f>
        <x:v>0</x:v>
      </x:c>
      <x:c r="L272" t="str">
        <x:f>A272&amp;"|"&amp;B272</x:f>
        <x:v>|</x:v>
      </x:c>
    </x:row>
    <x:row r="273">
      <x:c r="C273" s="34"/>
      <x:c r="G273" s="38"/>
      <x:c r="H273" s="38"/>
      <x:c r="I273" s="38" t="n">
        <x:f>IF(J273="Disetujui",G273*H273,0)</x:f>
        <x:v>0</x:v>
      </x:c>
      <x:c r="L273" t="str">
        <x:f>A273&amp;"|"&amp;B273</x:f>
        <x:v>|</x:v>
      </x:c>
    </x:row>
    <x:row r="274">
      <x:c r="C274" s="34"/>
      <x:c r="G274" s="38"/>
      <x:c r="H274" s="38"/>
      <x:c r="I274" s="38" t="n">
        <x:f>IF(J274="Disetujui",G274*H274,0)</x:f>
        <x:v>0</x:v>
      </x:c>
      <x:c r="L274" t="str">
        <x:f>A274&amp;"|"&amp;B274</x:f>
        <x:v>|</x:v>
      </x:c>
    </x:row>
    <x:row r="275">
      <x:c r="C275" s="34"/>
      <x:c r="G275" s="38"/>
      <x:c r="H275" s="38"/>
      <x:c r="I275" s="38" t="n">
        <x:f>IF(J275="Disetujui",G275*H275,0)</x:f>
        <x:v>0</x:v>
      </x:c>
      <x:c r="L275" t="str">
        <x:f>A275&amp;"|"&amp;B275</x:f>
        <x:v>|</x:v>
      </x:c>
    </x:row>
    <x:row r="276">
      <x:c r="C276" s="34"/>
      <x:c r="G276" s="38"/>
      <x:c r="H276" s="38"/>
      <x:c r="I276" s="38" t="n">
        <x:f>IF(J276="Disetujui",G276*H276,0)</x:f>
        <x:v>0</x:v>
      </x:c>
      <x:c r="L276" t="str">
        <x:f>A276&amp;"|"&amp;B276</x:f>
        <x:v>|</x:v>
      </x:c>
    </x:row>
    <x:row r="277">
      <x:c r="C277" s="34"/>
      <x:c r="G277" s="38"/>
      <x:c r="H277" s="38"/>
      <x:c r="I277" s="38" t="n">
        <x:f>IF(J277="Disetujui",G277*H277,0)</x:f>
        <x:v>0</x:v>
      </x:c>
      <x:c r="L277" t="str">
        <x:f>A277&amp;"|"&amp;B277</x:f>
        <x:v>|</x:v>
      </x:c>
    </x:row>
    <x:row r="278">
      <x:c r="C278" s="34"/>
      <x:c r="G278" s="38"/>
      <x:c r="H278" s="38"/>
      <x:c r="I278" s="38" t="n">
        <x:f>IF(J278="Disetujui",G278*H278,0)</x:f>
        <x:v>0</x:v>
      </x:c>
      <x:c r="L278" t="str">
        <x:f>A278&amp;"|"&amp;B278</x:f>
        <x:v>|</x:v>
      </x:c>
    </x:row>
    <x:row r="279">
      <x:c r="C279" s="34"/>
      <x:c r="G279" s="38"/>
      <x:c r="H279" s="38"/>
      <x:c r="I279" s="38" t="n">
        <x:f>IF(J279="Disetujui",G279*H279,0)</x:f>
        <x:v>0</x:v>
      </x:c>
      <x:c r="L279" t="str">
        <x:f>A279&amp;"|"&amp;B279</x:f>
        <x:v>|</x:v>
      </x:c>
    </x:row>
    <x:row r="280">
      <x:c r="C280" s="34"/>
      <x:c r="G280" s="38"/>
      <x:c r="H280" s="38"/>
      <x:c r="I280" s="38" t="n">
        <x:f>IF(J280="Disetujui",G280*H280,0)</x:f>
        <x:v>0</x:v>
      </x:c>
      <x:c r="L280" t="str">
        <x:f>A280&amp;"|"&amp;B280</x:f>
        <x:v>|</x:v>
      </x:c>
    </x:row>
    <x:row r="281">
      <x:c r="C281" s="34"/>
      <x:c r="G281" s="38"/>
      <x:c r="H281" s="38"/>
      <x:c r="I281" s="38" t="n">
        <x:f>IF(J281="Disetujui",G281*H281,0)</x:f>
        <x:v>0</x:v>
      </x:c>
      <x:c r="L281" t="str">
        <x:f>A281&amp;"|"&amp;B281</x:f>
        <x:v>|</x:v>
      </x:c>
    </x:row>
    <x:row r="282">
      <x:c r="C282" s="34"/>
      <x:c r="G282" s="38"/>
      <x:c r="H282" s="38"/>
      <x:c r="I282" s="38" t="n">
        <x:f>IF(J282="Disetujui",G282*H282,0)</x:f>
        <x:v>0</x:v>
      </x:c>
      <x:c r="L282" t="str">
        <x:f>A282&amp;"|"&amp;B282</x:f>
        <x:v>|</x:v>
      </x:c>
    </x:row>
    <x:row r="283">
      <x:c r="C283" s="34"/>
      <x:c r="G283" s="38"/>
      <x:c r="H283" s="38"/>
      <x:c r="I283" s="38" t="n">
        <x:f>IF(J283="Disetujui",G283*H283,0)</x:f>
        <x:v>0</x:v>
      </x:c>
      <x:c r="L283" t="str">
        <x:f>A283&amp;"|"&amp;B283</x:f>
        <x:v>|</x:v>
      </x:c>
    </x:row>
    <x:row r="284">
      <x:c r="C284" s="34"/>
      <x:c r="G284" s="38"/>
      <x:c r="H284" s="38"/>
      <x:c r="I284" s="38" t="n">
        <x:f>IF(J284="Disetujui",G284*H284,0)</x:f>
        <x:v>0</x:v>
      </x:c>
      <x:c r="L284" t="str">
        <x:f>A284&amp;"|"&amp;B284</x:f>
        <x:v>|</x:v>
      </x:c>
    </x:row>
    <x:row r="285">
      <x:c r="C285" s="34"/>
      <x:c r="G285" s="38"/>
      <x:c r="H285" s="38"/>
      <x:c r="I285" s="38" t="n">
        <x:f>IF(J285="Disetujui",G285*H285,0)</x:f>
        <x:v>0</x:v>
      </x:c>
      <x:c r="L285" t="str">
        <x:f>A285&amp;"|"&amp;B285</x:f>
        <x:v>|</x:v>
      </x:c>
    </x:row>
    <x:row r="286">
      <x:c r="C286" s="34"/>
      <x:c r="G286" s="38"/>
      <x:c r="H286" s="38"/>
      <x:c r="I286" s="38" t="n">
        <x:f>IF(J286="Disetujui",G286*H286,0)</x:f>
        <x:v>0</x:v>
      </x:c>
      <x:c r="L286" t="str">
        <x:f>A286&amp;"|"&amp;B286</x:f>
        <x:v>|</x:v>
      </x:c>
    </x:row>
    <x:row r="287">
      <x:c r="C287" s="34"/>
      <x:c r="G287" s="38"/>
      <x:c r="H287" s="38"/>
      <x:c r="I287" s="38" t="n">
        <x:f>IF(J287="Disetujui",G287*H287,0)</x:f>
        <x:v>0</x:v>
      </x:c>
      <x:c r="L287" t="str">
        <x:f>A287&amp;"|"&amp;B287</x:f>
        <x:v>|</x:v>
      </x:c>
    </x:row>
    <x:row r="288">
      <x:c r="C288" s="34"/>
      <x:c r="G288" s="38"/>
      <x:c r="H288" s="38"/>
      <x:c r="I288" s="38" t="n">
        <x:f>IF(J288="Disetujui",G288*H288,0)</x:f>
        <x:v>0</x:v>
      </x:c>
      <x:c r="L288" t="str">
        <x:f>A288&amp;"|"&amp;B288</x:f>
        <x:v>|</x:v>
      </x:c>
    </x:row>
    <x:row r="289">
      <x:c r="C289" s="34"/>
      <x:c r="G289" s="38"/>
      <x:c r="H289" s="38"/>
      <x:c r="I289" s="38" t="n">
        <x:f>IF(J289="Disetujui",G289*H289,0)</x:f>
        <x:v>0</x:v>
      </x:c>
      <x:c r="L289" t="str">
        <x:f>A289&amp;"|"&amp;B289</x:f>
        <x:v>|</x:v>
      </x:c>
    </x:row>
    <x:row r="290">
      <x:c r="C290" s="34"/>
      <x:c r="G290" s="38"/>
      <x:c r="H290" s="38"/>
      <x:c r="I290" s="38" t="n">
        <x:f>IF(J290="Disetujui",G290*H290,0)</x:f>
        <x:v>0</x:v>
      </x:c>
      <x:c r="L290" t="str">
        <x:f>A290&amp;"|"&amp;B290</x:f>
        <x:v>|</x:v>
      </x:c>
    </x:row>
    <x:row r="291">
      <x:c r="C291" s="34"/>
      <x:c r="G291" s="38"/>
      <x:c r="H291" s="38"/>
      <x:c r="I291" s="38" t="n">
        <x:f>IF(J291="Disetujui",G291*H291,0)</x:f>
        <x:v>0</x:v>
      </x:c>
      <x:c r="L291" t="str">
        <x:f>A291&amp;"|"&amp;B291</x:f>
        <x:v>|</x:v>
      </x:c>
    </x:row>
    <x:row r="292">
      <x:c r="C292" s="34"/>
      <x:c r="G292" s="38"/>
      <x:c r="H292" s="38"/>
      <x:c r="I292" s="38" t="n">
        <x:f>IF(J292="Disetujui",G292*H292,0)</x:f>
        <x:v>0</x:v>
      </x:c>
      <x:c r="L292" t="str">
        <x:f>A292&amp;"|"&amp;B292</x:f>
        <x:v>|</x:v>
      </x:c>
    </x:row>
    <x:row r="293">
      <x:c r="C293" s="34"/>
      <x:c r="G293" s="38"/>
      <x:c r="H293" s="38"/>
      <x:c r="I293" s="38" t="n">
        <x:f>IF(J293="Disetujui",G293*H293,0)</x:f>
        <x:v>0</x:v>
      </x:c>
      <x:c r="L293" t="str">
        <x:f>A293&amp;"|"&amp;B293</x:f>
        <x:v>|</x:v>
      </x:c>
    </x:row>
    <x:row r="294">
      <x:c r="C294" s="34"/>
      <x:c r="G294" s="38"/>
      <x:c r="H294" s="38"/>
      <x:c r="I294" s="38" t="n">
        <x:f>IF(J294="Disetujui",G294*H294,0)</x:f>
        <x:v>0</x:v>
      </x:c>
      <x:c r="L294" t="str">
        <x:f>A294&amp;"|"&amp;B294</x:f>
        <x:v>|</x:v>
      </x:c>
    </x:row>
    <x:row r="295">
      <x:c r="C295" s="34"/>
      <x:c r="G295" s="38"/>
      <x:c r="H295" s="38"/>
      <x:c r="I295" s="38" t="n">
        <x:f>IF(J295="Disetujui",G295*H295,0)</x:f>
        <x:v>0</x:v>
      </x:c>
      <x:c r="L295" t="str">
        <x:f>A295&amp;"|"&amp;B295</x:f>
        <x:v>|</x:v>
      </x:c>
    </x:row>
    <x:row r="296">
      <x:c r="C296" s="34"/>
      <x:c r="G296" s="38"/>
      <x:c r="H296" s="38"/>
      <x:c r="I296" s="38" t="n">
        <x:f>IF(J296="Disetujui",G296*H296,0)</x:f>
        <x:v>0</x:v>
      </x:c>
      <x:c r="L296" t="str">
        <x:f>A296&amp;"|"&amp;B296</x:f>
        <x:v>|</x:v>
      </x:c>
    </x:row>
    <x:row r="297">
      <x:c r="C297" s="34"/>
      <x:c r="G297" s="38"/>
      <x:c r="H297" s="38"/>
      <x:c r="I297" s="38" t="n">
        <x:f>IF(J297="Disetujui",G297*H297,0)</x:f>
        <x:v>0</x:v>
      </x:c>
      <x:c r="L297" t="str">
        <x:f>A297&amp;"|"&amp;B297</x:f>
        <x:v>|</x:v>
      </x:c>
    </x:row>
    <x:row r="298">
      <x:c r="C298" s="34"/>
      <x:c r="G298" s="38"/>
      <x:c r="H298" s="38"/>
      <x:c r="I298" s="38" t="n">
        <x:f>IF(J298="Disetujui",G298*H298,0)</x:f>
        <x:v>0</x:v>
      </x:c>
      <x:c r="L298" t="str">
        <x:f>A298&amp;"|"&amp;B298</x:f>
        <x:v>|</x:v>
      </x:c>
    </x:row>
    <x:row r="299">
      <x:c r="C299" s="34"/>
      <x:c r="G299" s="38"/>
      <x:c r="H299" s="38"/>
      <x:c r="I299" s="38" t="n">
        <x:f>IF(J299="Disetujui",G299*H299,0)</x:f>
        <x:v>0</x:v>
      </x:c>
      <x:c r="L299" t="str">
        <x:f>A299&amp;"|"&amp;B299</x:f>
        <x:v>|</x:v>
      </x:c>
    </x:row>
    <x:row r="300">
      <x:c r="C300" s="34"/>
      <x:c r="G300" s="38"/>
      <x:c r="H300" s="38"/>
      <x:c r="I300" s="38" t="n">
        <x:f>IF(J300="Disetujui",G300*H300,0)</x:f>
        <x:v>0</x:v>
      </x:c>
      <x:c r="L300" t="str">
        <x:f>A300&amp;"|"&amp;B300</x:f>
        <x:v>|</x:v>
      </x:c>
    </x:row>
    <x:row r="301">
      <x:c r="C301" s="34"/>
      <x:c r="G301" s="38"/>
      <x:c r="H301" s="38"/>
      <x:c r="I301" s="38" t="n">
        <x:f>IF(J301="Disetujui",G301*H301,0)</x:f>
        <x:v>0</x:v>
      </x:c>
      <x:c r="L301" t="str">
        <x:f>A301&amp;"|"&amp;B301</x:f>
        <x:v>|</x:v>
      </x:c>
    </x:row>
    <x:row r="302">
      <x:c r="C302" s="34"/>
      <x:c r="G302" s="38"/>
      <x:c r="H302" s="38"/>
      <x:c r="I302" s="38" t="n">
        <x:f>IF(J302="Disetujui",G302*H302,0)</x:f>
        <x:v>0</x:v>
      </x:c>
      <x:c r="L302" t="str">
        <x:f>A302&amp;"|"&amp;B302</x:f>
        <x:v>|</x:v>
      </x:c>
    </x:row>
    <x:row r="303">
      <x:c r="C303" s="34"/>
      <x:c r="G303" s="38"/>
      <x:c r="H303" s="38"/>
      <x:c r="I303" s="38" t="n">
        <x:f>IF(J303="Disetujui",G303*H303,0)</x:f>
        <x:v>0</x:v>
      </x:c>
      <x:c r="L303" t="str">
        <x:f>A303&amp;"|"&amp;B303</x:f>
        <x:v>|</x:v>
      </x:c>
    </x:row>
    <x:row r="304">
      <x:c r="C304" s="34"/>
      <x:c r="G304" s="38"/>
      <x:c r="H304" s="38"/>
      <x:c r="I304" s="38" t="n">
        <x:f>IF(J304="Disetujui",G304*H304,0)</x:f>
        <x:v>0</x:v>
      </x:c>
      <x:c r="L304" t="str">
        <x:f>A304&amp;"|"&amp;B304</x:f>
        <x:v>|</x:v>
      </x:c>
    </x:row>
    <x:row r="305">
      <x:c r="C305" s="34"/>
      <x:c r="G305" s="38"/>
      <x:c r="H305" s="38"/>
      <x:c r="I305" s="38" t="n">
        <x:f>IF(J305="Disetujui",G305*H305,0)</x:f>
        <x:v>0</x:v>
      </x:c>
      <x:c r="L305" t="str">
        <x:f>A305&amp;"|"&amp;B305</x:f>
        <x:v>|</x:v>
      </x:c>
    </x:row>
    <x:row r="306">
      <x:c r="C306" s="34"/>
      <x:c r="G306" s="38"/>
      <x:c r="H306" s="38"/>
      <x:c r="I306" s="38" t="n">
        <x:f>IF(J306="Disetujui",G306*H306,0)</x:f>
        <x:v>0</x:v>
      </x:c>
      <x:c r="L306" t="str">
        <x:f>A306&amp;"|"&amp;B306</x:f>
        <x:v>|</x:v>
      </x:c>
    </x:row>
    <x:row r="307">
      <x:c r="C307" s="34"/>
      <x:c r="G307" s="38"/>
      <x:c r="H307" s="38"/>
      <x:c r="I307" s="38" t="n">
        <x:f>IF(J307="Disetujui",G307*H307,0)</x:f>
        <x:v>0</x:v>
      </x:c>
      <x:c r="L307" t="str">
        <x:f>A307&amp;"|"&amp;B307</x:f>
        <x:v>|</x:v>
      </x:c>
    </x:row>
    <x:row r="308">
      <x:c r="C308" s="34"/>
      <x:c r="G308" s="38"/>
      <x:c r="H308" s="38"/>
      <x:c r="I308" s="38" t="n">
        <x:f>IF(J308="Disetujui",G308*H308,0)</x:f>
        <x:v>0</x:v>
      </x:c>
      <x:c r="L308" t="str">
        <x:f>A308&amp;"|"&amp;B308</x:f>
        <x:v>|</x:v>
      </x:c>
    </x:row>
    <x:row r="309">
      <x:c r="C309" s="34"/>
      <x:c r="G309" s="38"/>
      <x:c r="H309" s="38"/>
      <x:c r="I309" s="38" t="n">
        <x:f>IF(J309="Disetujui",G309*H309,0)</x:f>
        <x:v>0</x:v>
      </x:c>
      <x:c r="L309" t="str">
        <x:f>A309&amp;"|"&amp;B309</x:f>
        <x:v>|</x:v>
      </x:c>
    </x:row>
    <x:row r="310">
      <x:c r="C310" s="34"/>
      <x:c r="G310" s="38"/>
      <x:c r="H310" s="38"/>
      <x:c r="I310" s="38" t="n">
        <x:f>IF(J310="Disetujui",G310*H310,0)</x:f>
        <x:v>0</x:v>
      </x:c>
      <x:c r="L310" t="str">
        <x:f>A310&amp;"|"&amp;B310</x:f>
        <x:v>|</x:v>
      </x:c>
    </x:row>
    <x:row r="311">
      <x:c r="C311" s="34"/>
      <x:c r="G311" s="38"/>
      <x:c r="H311" s="38"/>
      <x:c r="I311" s="38" t="n">
        <x:f>IF(J311="Disetujui",G311*H311,0)</x:f>
        <x:v>0</x:v>
      </x:c>
      <x:c r="L311" t="str">
        <x:f>A311&amp;"|"&amp;B311</x:f>
        <x:v>|</x:v>
      </x:c>
    </x:row>
    <x:row r="312">
      <x:c r="C312" s="34"/>
      <x:c r="G312" s="38"/>
      <x:c r="H312" s="38"/>
      <x:c r="I312" s="38" t="n">
        <x:f>IF(J312="Disetujui",G312*H312,0)</x:f>
        <x:v>0</x:v>
      </x:c>
      <x:c r="L312" t="str">
        <x:f>A312&amp;"|"&amp;B312</x:f>
        <x:v>|</x:v>
      </x:c>
    </x:row>
    <x:row r="313">
      <x:c r="C313" s="34"/>
      <x:c r="G313" s="38"/>
      <x:c r="H313" s="38"/>
      <x:c r="I313" s="38" t="n">
        <x:f>IF(J313="Disetujui",G313*H313,0)</x:f>
        <x:v>0</x:v>
      </x:c>
      <x:c r="L313" t="str">
        <x:f>A313&amp;"|"&amp;B313</x:f>
        <x:v>|</x:v>
      </x:c>
    </x:row>
    <x:row r="314">
      <x:c r="C314" s="34"/>
      <x:c r="G314" s="38"/>
      <x:c r="H314" s="38"/>
      <x:c r="I314" s="38" t="n">
        <x:f>IF(J314="Disetujui",G314*H314,0)</x:f>
        <x:v>0</x:v>
      </x:c>
      <x:c r="L314" t="str">
        <x:f>A314&amp;"|"&amp;B314</x:f>
        <x:v>|</x:v>
      </x:c>
    </x:row>
    <x:row r="315">
      <x:c r="C315" s="34"/>
      <x:c r="G315" s="38"/>
      <x:c r="H315" s="38"/>
      <x:c r="I315" s="38" t="n">
        <x:f>IF(J315="Disetujui",G315*H315,0)</x:f>
        <x:v>0</x:v>
      </x:c>
      <x:c r="L315" t="str">
        <x:f>A315&amp;"|"&amp;B315</x:f>
        <x:v>|</x:v>
      </x:c>
    </x:row>
    <x:row r="316">
      <x:c r="C316" s="34"/>
      <x:c r="G316" s="38"/>
      <x:c r="H316" s="38"/>
      <x:c r="I316" s="38" t="n">
        <x:f>IF(J316="Disetujui",G316*H316,0)</x:f>
        <x:v>0</x:v>
      </x:c>
      <x:c r="L316" t="str">
        <x:f>A316&amp;"|"&amp;B316</x:f>
        <x:v>|</x:v>
      </x:c>
    </x:row>
    <x:row r="317">
      <x:c r="C317" s="34"/>
      <x:c r="G317" s="38"/>
      <x:c r="H317" s="38"/>
      <x:c r="I317" s="38" t="n">
        <x:f>IF(J317="Disetujui",G317*H317,0)</x:f>
        <x:v>0</x:v>
      </x:c>
      <x:c r="L317" t="str">
        <x:f>A317&amp;"|"&amp;B317</x:f>
        <x:v>|</x:v>
      </x:c>
    </x:row>
    <x:row r="318">
      <x:c r="C318" s="34"/>
      <x:c r="G318" s="38"/>
      <x:c r="H318" s="38"/>
      <x:c r="I318" s="38" t="n">
        <x:f>IF(J318="Disetujui",G318*H318,0)</x:f>
        <x:v>0</x:v>
      </x:c>
      <x:c r="L318" t="str">
        <x:f>A318&amp;"|"&amp;B318</x:f>
        <x:v>|</x:v>
      </x:c>
    </x:row>
    <x:row r="319">
      <x:c r="C319" s="34"/>
      <x:c r="G319" s="38"/>
      <x:c r="H319" s="38"/>
      <x:c r="I319" s="38" t="n">
        <x:f>IF(J319="Disetujui",G319*H319,0)</x:f>
        <x:v>0</x:v>
      </x:c>
      <x:c r="L319" t="str">
        <x:f>A319&amp;"|"&amp;B319</x:f>
        <x:v>|</x:v>
      </x:c>
    </x:row>
    <x:row r="320">
      <x:c r="C320" s="34"/>
      <x:c r="G320" s="38"/>
      <x:c r="H320" s="38"/>
      <x:c r="I320" s="38" t="n">
        <x:f>IF(J320="Disetujui",G320*H320,0)</x:f>
        <x:v>0</x:v>
      </x:c>
      <x:c r="L320" t="str">
        <x:f>A320&amp;"|"&amp;B320</x:f>
        <x:v>|</x:v>
      </x:c>
    </x:row>
    <x:row r="321">
      <x:c r="C321" s="34"/>
      <x:c r="G321" s="38"/>
      <x:c r="H321" s="38"/>
      <x:c r="I321" s="38" t="n">
        <x:f>IF(J321="Disetujui",G321*H321,0)</x:f>
        <x:v>0</x:v>
      </x:c>
      <x:c r="L321" t="str">
        <x:f>A321&amp;"|"&amp;B321</x:f>
        <x:v>|</x:v>
      </x:c>
    </x:row>
    <x:row r="322">
      <x:c r="C322" s="34"/>
      <x:c r="G322" s="38"/>
      <x:c r="H322" s="38"/>
      <x:c r="I322" s="38" t="n">
        <x:f>IF(J322="Disetujui",G322*H322,0)</x:f>
        <x:v>0</x:v>
      </x:c>
      <x:c r="L322" t="str">
        <x:f>A322&amp;"|"&amp;B322</x:f>
        <x:v>|</x:v>
      </x:c>
    </x:row>
    <x:row r="323">
      <x:c r="C323" s="34"/>
      <x:c r="G323" s="38"/>
      <x:c r="H323" s="38"/>
      <x:c r="I323" s="38" t="n">
        <x:f>IF(J323="Disetujui",G323*H323,0)</x:f>
        <x:v>0</x:v>
      </x:c>
      <x:c r="L323" t="str">
        <x:f>A323&amp;"|"&amp;B323</x:f>
        <x:v>|</x:v>
      </x:c>
    </x:row>
    <x:row r="324">
      <x:c r="C324" s="34"/>
      <x:c r="G324" s="38"/>
      <x:c r="H324" s="38"/>
      <x:c r="I324" s="38" t="n">
        <x:f>IF(J324="Disetujui",G324*H324,0)</x:f>
        <x:v>0</x:v>
      </x:c>
      <x:c r="L324" t="str">
        <x:f>A324&amp;"|"&amp;B324</x:f>
        <x:v>|</x:v>
      </x:c>
    </x:row>
    <x:row r="325">
      <x:c r="C325" s="34"/>
      <x:c r="G325" s="38"/>
      <x:c r="H325" s="38"/>
      <x:c r="I325" s="38" t="n">
        <x:f>IF(J325="Disetujui",G325*H325,0)</x:f>
        <x:v>0</x:v>
      </x:c>
      <x:c r="L325" t="str">
        <x:f>A325&amp;"|"&amp;B325</x:f>
        <x:v>|</x:v>
      </x:c>
    </x:row>
    <x:row r="326">
      <x:c r="C326" s="34"/>
      <x:c r="G326" s="38"/>
      <x:c r="H326" s="38"/>
      <x:c r="I326" s="38" t="n">
        <x:f>IF(J326="Disetujui",G326*H326,0)</x:f>
        <x:v>0</x:v>
      </x:c>
      <x:c r="L326" t="str">
        <x:f>A326&amp;"|"&amp;B326</x:f>
        <x:v>|</x:v>
      </x:c>
    </x:row>
    <x:row r="327">
      <x:c r="C327" s="34"/>
      <x:c r="G327" s="38"/>
      <x:c r="H327" s="38"/>
      <x:c r="I327" s="38" t="n">
        <x:f>IF(J327="Disetujui",G327*H327,0)</x:f>
        <x:v>0</x:v>
      </x:c>
      <x:c r="L327" t="str">
        <x:f>A327&amp;"|"&amp;B327</x:f>
        <x:v>|</x:v>
      </x:c>
    </x:row>
    <x:row r="328">
      <x:c r="C328" s="34"/>
      <x:c r="G328" s="38"/>
      <x:c r="H328" s="38"/>
      <x:c r="I328" s="38" t="n">
        <x:f>IF(J328="Disetujui",G328*H328,0)</x:f>
        <x:v>0</x:v>
      </x:c>
      <x:c r="L328" t="str">
        <x:f>A328&amp;"|"&amp;B328</x:f>
        <x:v>|</x:v>
      </x:c>
    </x:row>
    <x:row r="329">
      <x:c r="C329" s="34"/>
      <x:c r="G329" s="38"/>
      <x:c r="H329" s="38"/>
      <x:c r="I329" s="38" t="n">
        <x:f>IF(J329="Disetujui",G329*H329,0)</x:f>
        <x:v>0</x:v>
      </x:c>
      <x:c r="L329" t="str">
        <x:f>A329&amp;"|"&amp;B329</x:f>
        <x:v>|</x:v>
      </x:c>
    </x:row>
    <x:row r="330">
      <x:c r="C330" s="34"/>
      <x:c r="G330" s="38"/>
      <x:c r="H330" s="38"/>
      <x:c r="I330" s="38" t="n">
        <x:f>IF(J330="Disetujui",G330*H330,0)</x:f>
        <x:v>0</x:v>
      </x:c>
      <x:c r="L330" t="str">
        <x:f>A330&amp;"|"&amp;B330</x:f>
        <x:v>|</x:v>
      </x:c>
    </x:row>
    <x:row r="331">
      <x:c r="C331" s="34"/>
      <x:c r="G331" s="38"/>
      <x:c r="H331" s="38"/>
      <x:c r="I331" s="38" t="n">
        <x:f>IF(J331="Disetujui",G331*H331,0)</x:f>
        <x:v>0</x:v>
      </x:c>
      <x:c r="L331" t="str">
        <x:f>A331&amp;"|"&amp;B331</x:f>
        <x:v>|</x:v>
      </x:c>
    </x:row>
    <x:row r="332">
      <x:c r="C332" s="34"/>
      <x:c r="G332" s="38"/>
      <x:c r="H332" s="38"/>
      <x:c r="I332" s="38" t="n">
        <x:f>IF(J332="Disetujui",G332*H332,0)</x:f>
        <x:v>0</x:v>
      </x:c>
      <x:c r="L332" t="str">
        <x:f>A332&amp;"|"&amp;B332</x:f>
        <x:v>|</x:v>
      </x:c>
    </x:row>
    <x:row r="333">
      <x:c r="C333" s="34"/>
      <x:c r="G333" s="38"/>
      <x:c r="H333" s="38"/>
      <x:c r="I333" s="38" t="n">
        <x:f>IF(J333="Disetujui",G333*H333,0)</x:f>
        <x:v>0</x:v>
      </x:c>
      <x:c r="L333" t="str">
        <x:f>A333&amp;"|"&amp;B333</x:f>
        <x:v>|</x:v>
      </x:c>
    </x:row>
    <x:row r="334">
      <x:c r="C334" s="34"/>
      <x:c r="G334" s="38"/>
      <x:c r="H334" s="38"/>
      <x:c r="I334" s="38" t="n">
        <x:f>IF(J334="Disetujui",G334*H334,0)</x:f>
        <x:v>0</x:v>
      </x:c>
      <x:c r="L334" t="str">
        <x:f>A334&amp;"|"&amp;B334</x:f>
        <x:v>|</x:v>
      </x:c>
    </x:row>
    <x:row r="335">
      <x:c r="C335" s="34"/>
      <x:c r="G335" s="38"/>
      <x:c r="H335" s="38"/>
      <x:c r="I335" s="38" t="n">
        <x:f>IF(J335="Disetujui",G335*H335,0)</x:f>
        <x:v>0</x:v>
      </x:c>
      <x:c r="L335" t="str">
        <x:f>A335&amp;"|"&amp;B335</x:f>
        <x:v>|</x:v>
      </x:c>
    </x:row>
    <x:row r="336">
      <x:c r="C336" s="34"/>
      <x:c r="G336" s="38"/>
      <x:c r="H336" s="38"/>
      <x:c r="I336" s="38" t="n">
        <x:f>IF(J336="Disetujui",G336*H336,0)</x:f>
        <x:v>0</x:v>
      </x:c>
      <x:c r="L336" t="str">
        <x:f>A336&amp;"|"&amp;B336</x:f>
        <x:v>|</x:v>
      </x:c>
    </x:row>
    <x:row r="337">
      <x:c r="C337" s="34"/>
      <x:c r="G337" s="38"/>
      <x:c r="H337" s="38"/>
      <x:c r="I337" s="38" t="n">
        <x:f>IF(J337="Disetujui",G337*H337,0)</x:f>
        <x:v>0</x:v>
      </x:c>
      <x:c r="L337" t="str">
        <x:f>A337&amp;"|"&amp;B337</x:f>
        <x:v>|</x:v>
      </x:c>
    </x:row>
    <x:row r="338">
      <x:c r="C338" s="34"/>
      <x:c r="G338" s="38"/>
      <x:c r="H338" s="38"/>
      <x:c r="I338" s="38" t="n">
        <x:f>IF(J338="Disetujui",G338*H338,0)</x:f>
        <x:v>0</x:v>
      </x:c>
      <x:c r="L338" t="str">
        <x:f>A338&amp;"|"&amp;B338</x:f>
        <x:v>|</x:v>
      </x:c>
    </x:row>
    <x:row r="339">
      <x:c r="C339" s="34"/>
      <x:c r="G339" s="38"/>
      <x:c r="H339" s="38"/>
      <x:c r="I339" s="38" t="n">
        <x:f>IF(J339="Disetujui",G339*H339,0)</x:f>
        <x:v>0</x:v>
      </x:c>
      <x:c r="L339" t="str">
        <x:f>A339&amp;"|"&amp;B339</x:f>
        <x:v>|</x:v>
      </x:c>
    </x:row>
    <x:row r="340">
      <x:c r="C340" s="34"/>
      <x:c r="G340" s="38"/>
      <x:c r="H340" s="38"/>
      <x:c r="I340" s="38" t="n">
        <x:f>IF(J340="Disetujui",G340*H340,0)</x:f>
        <x:v>0</x:v>
      </x:c>
      <x:c r="L340" t="str">
        <x:f>A340&amp;"|"&amp;B340</x:f>
        <x:v>|</x:v>
      </x:c>
    </x:row>
    <x:row r="341">
      <x:c r="C341" s="34"/>
      <x:c r="G341" s="38"/>
      <x:c r="H341" s="38"/>
      <x:c r="I341" s="38" t="n">
        <x:f>IF(J341="Disetujui",G341*H341,0)</x:f>
        <x:v>0</x:v>
      </x:c>
      <x:c r="L341" t="str">
        <x:f>A341&amp;"|"&amp;B341</x:f>
        <x:v>|</x:v>
      </x:c>
    </x:row>
    <x:row r="342">
      <x:c r="C342" s="34"/>
      <x:c r="G342" s="38"/>
      <x:c r="H342" s="38"/>
      <x:c r="I342" s="38" t="n">
        <x:f>IF(J342="Disetujui",G342*H342,0)</x:f>
        <x:v>0</x:v>
      </x:c>
      <x:c r="L342" t="str">
        <x:f>A342&amp;"|"&amp;B342</x:f>
        <x:v>|</x:v>
      </x:c>
    </x:row>
    <x:row r="343">
      <x:c r="C343" s="34"/>
      <x:c r="G343" s="38"/>
      <x:c r="H343" s="38"/>
      <x:c r="I343" s="38" t="n">
        <x:f>IF(J343="Disetujui",G343*H343,0)</x:f>
        <x:v>0</x:v>
      </x:c>
      <x:c r="L343" t="str">
        <x:f>A343&amp;"|"&amp;B343</x:f>
        <x:v>|</x:v>
      </x:c>
    </x:row>
    <x:row r="344">
      <x:c r="C344" s="34"/>
      <x:c r="G344" s="38"/>
      <x:c r="H344" s="38"/>
      <x:c r="I344" s="38" t="n">
        <x:f>IF(J344="Disetujui",G344*H344,0)</x:f>
        <x:v>0</x:v>
      </x:c>
      <x:c r="L344" t="str">
        <x:f>A344&amp;"|"&amp;B344</x:f>
        <x:v>|</x:v>
      </x:c>
    </x:row>
    <x:row r="345">
      <x:c r="C345" s="34"/>
      <x:c r="G345" s="38"/>
      <x:c r="H345" s="38"/>
      <x:c r="I345" s="38" t="n">
        <x:f>IF(J345="Disetujui",G345*H345,0)</x:f>
        <x:v>0</x:v>
      </x:c>
      <x:c r="L345" t="str">
        <x:f>A345&amp;"|"&amp;B345</x:f>
        <x:v>|</x:v>
      </x:c>
    </x:row>
    <x:row r="346">
      <x:c r="C346" s="34"/>
      <x:c r="G346" s="38"/>
      <x:c r="H346" s="38"/>
      <x:c r="I346" s="38" t="n">
        <x:f>IF(J346="Disetujui",G346*H346,0)</x:f>
        <x:v>0</x:v>
      </x:c>
      <x:c r="L346" t="str">
        <x:f>A346&amp;"|"&amp;B346</x:f>
        <x:v>|</x:v>
      </x:c>
    </x:row>
    <x:row r="347">
      <x:c r="C347" s="34"/>
      <x:c r="G347" s="38"/>
      <x:c r="H347" s="38"/>
      <x:c r="I347" s="38" t="n">
        <x:f>IF(J347="Disetujui",G347*H347,0)</x:f>
        <x:v>0</x:v>
      </x:c>
      <x:c r="L347" t="str">
        <x:f>A347&amp;"|"&amp;B347</x:f>
        <x:v>|</x:v>
      </x:c>
    </x:row>
    <x:row r="348">
      <x:c r="C348" s="34"/>
      <x:c r="G348" s="38"/>
      <x:c r="H348" s="38"/>
      <x:c r="I348" s="38" t="n">
        <x:f>IF(J348="Disetujui",G348*H348,0)</x:f>
        <x:v>0</x:v>
      </x:c>
      <x:c r="L348" t="str">
        <x:f>A348&amp;"|"&amp;B348</x:f>
        <x:v>|</x:v>
      </x:c>
    </x:row>
    <x:row r="349">
      <x:c r="C349" s="34"/>
      <x:c r="G349" s="38"/>
      <x:c r="H349" s="38"/>
      <x:c r="I349" s="38" t="n">
        <x:f>IF(J349="Disetujui",G349*H349,0)</x:f>
        <x:v>0</x:v>
      </x:c>
      <x:c r="L349" t="str">
        <x:f>A349&amp;"|"&amp;B349</x:f>
        <x:v>|</x:v>
      </x:c>
    </x:row>
    <x:row r="350">
      <x:c r="C350" s="34"/>
      <x:c r="G350" s="38"/>
      <x:c r="H350" s="38"/>
      <x:c r="I350" s="38" t="n">
        <x:f>IF(J350="Disetujui",G350*H350,0)</x:f>
        <x:v>0</x:v>
      </x:c>
      <x:c r="L350" t="str">
        <x:f>A350&amp;"|"&amp;B350</x:f>
        <x:v>|</x:v>
      </x:c>
    </x:row>
    <x:row r="351">
      <x:c r="C351" s="34"/>
      <x:c r="G351" s="38"/>
      <x:c r="H351" s="38"/>
      <x:c r="I351" s="38" t="n">
        <x:f>IF(J351="Disetujui",G351*H351,0)</x:f>
        <x:v>0</x:v>
      </x:c>
      <x:c r="L351" t="str">
        <x:f>A351&amp;"|"&amp;B351</x:f>
        <x:v>|</x:v>
      </x:c>
    </x:row>
    <x:row r="352">
      <x:c r="C352" s="34"/>
      <x:c r="G352" s="38"/>
      <x:c r="H352" s="38"/>
      <x:c r="I352" s="38" t="n">
        <x:f>IF(J352="Disetujui",G352*H352,0)</x:f>
        <x:v>0</x:v>
      </x:c>
      <x:c r="L352" t="str">
        <x:f>A352&amp;"|"&amp;B352</x:f>
        <x:v>|</x:v>
      </x:c>
    </x:row>
    <x:row r="353">
      <x:c r="C353" s="34"/>
      <x:c r="G353" s="38"/>
      <x:c r="H353" s="38"/>
      <x:c r="I353" s="38" t="n">
        <x:f>IF(J353="Disetujui",G353*H353,0)</x:f>
        <x:v>0</x:v>
      </x:c>
      <x:c r="L353" t="str">
        <x:f>A353&amp;"|"&amp;B353</x:f>
        <x:v>|</x:v>
      </x:c>
    </x:row>
    <x:row r="354">
      <x:c r="C354" s="34"/>
      <x:c r="G354" s="38"/>
      <x:c r="H354" s="38"/>
      <x:c r="I354" s="38" t="n">
        <x:f>IF(J354="Disetujui",G354*H354,0)</x:f>
        <x:v>0</x:v>
      </x:c>
      <x:c r="L354" t="str">
        <x:f>A354&amp;"|"&amp;B354</x:f>
        <x:v>|</x:v>
      </x:c>
    </x:row>
    <x:row r="355">
      <x:c r="C355" s="34"/>
      <x:c r="G355" s="38"/>
      <x:c r="H355" s="38"/>
      <x:c r="I355" s="38" t="n">
        <x:f>IF(J355="Disetujui",G355*H355,0)</x:f>
        <x:v>0</x:v>
      </x:c>
      <x:c r="L355" t="str">
        <x:f>A355&amp;"|"&amp;B355</x:f>
        <x:v>|</x:v>
      </x:c>
    </x:row>
    <x:row r="356">
      <x:c r="C356" s="34"/>
      <x:c r="G356" s="38"/>
      <x:c r="H356" s="38"/>
      <x:c r="I356" s="38" t="n">
        <x:f>IF(J356="Disetujui",G356*H356,0)</x:f>
        <x:v>0</x:v>
      </x:c>
      <x:c r="L356" t="str">
        <x:f>A356&amp;"|"&amp;B356</x:f>
        <x:v>|</x:v>
      </x:c>
    </x:row>
    <x:row r="357">
      <x:c r="C357" s="34"/>
      <x:c r="G357" s="38"/>
      <x:c r="H357" s="38"/>
      <x:c r="I357" s="38" t="n">
        <x:f>IF(J357="Disetujui",G357*H357,0)</x:f>
        <x:v>0</x:v>
      </x:c>
      <x:c r="L357" t="str">
        <x:f>A357&amp;"|"&amp;B357</x:f>
        <x:v>|</x:v>
      </x:c>
    </x:row>
    <x:row r="358">
      <x:c r="C358" s="34"/>
      <x:c r="G358" s="38"/>
      <x:c r="H358" s="38"/>
      <x:c r="I358" s="38" t="n">
        <x:f>IF(J358="Disetujui",G358*H358,0)</x:f>
        <x:v>0</x:v>
      </x:c>
      <x:c r="L358" t="str">
        <x:f>A358&amp;"|"&amp;B358</x:f>
        <x:v>|</x:v>
      </x:c>
    </x:row>
    <x:row r="359">
      <x:c r="C359" s="34"/>
      <x:c r="G359" s="38"/>
      <x:c r="H359" s="38"/>
      <x:c r="I359" s="38" t="n">
        <x:f>IF(J359="Disetujui",G359*H359,0)</x:f>
        <x:v>0</x:v>
      </x:c>
      <x:c r="L359" t="str">
        <x:f>A359&amp;"|"&amp;B359</x:f>
        <x:v>|</x:v>
      </x:c>
    </x:row>
    <x:row r="360">
      <x:c r="C360" s="34"/>
      <x:c r="G360" s="38"/>
      <x:c r="H360" s="38"/>
      <x:c r="I360" s="38" t="n">
        <x:f>IF(J360="Disetujui",G360*H360,0)</x:f>
        <x:v>0</x:v>
      </x:c>
      <x:c r="L360" t="str">
        <x:f>A360&amp;"|"&amp;B360</x:f>
        <x:v>|</x:v>
      </x:c>
    </x:row>
    <x:row r="361">
      <x:c r="C361" s="34"/>
      <x:c r="G361" s="38"/>
      <x:c r="H361" s="38"/>
      <x:c r="I361" s="38" t="n">
        <x:f>IF(J361="Disetujui",G361*H361,0)</x:f>
        <x:v>0</x:v>
      </x:c>
      <x:c r="L361" t="str">
        <x:f>A361&amp;"|"&amp;B361</x:f>
        <x:v>|</x:v>
      </x:c>
    </x:row>
    <x:row r="362">
      <x:c r="C362" s="34"/>
      <x:c r="G362" s="38"/>
      <x:c r="H362" s="38"/>
      <x:c r="I362" s="38" t="n">
        <x:f>IF(J362="Disetujui",G362*H362,0)</x:f>
        <x:v>0</x:v>
      </x:c>
      <x:c r="L362" t="str">
        <x:f>A362&amp;"|"&amp;B362</x:f>
        <x:v>|</x:v>
      </x:c>
    </x:row>
    <x:row r="363">
      <x:c r="C363" s="34"/>
      <x:c r="G363" s="38"/>
      <x:c r="H363" s="38"/>
      <x:c r="I363" s="38" t="n">
        <x:f>IF(J363="Disetujui",G363*H363,0)</x:f>
        <x:v>0</x:v>
      </x:c>
      <x:c r="L363" t="str">
        <x:f>A363&amp;"|"&amp;B363</x:f>
        <x:v>|</x:v>
      </x:c>
    </x:row>
    <x:row r="364">
      <x:c r="C364" s="34"/>
      <x:c r="G364" s="38"/>
      <x:c r="H364" s="38"/>
      <x:c r="I364" s="38" t="n">
        <x:f>IF(J364="Disetujui",G364*H364,0)</x:f>
        <x:v>0</x:v>
      </x:c>
      <x:c r="L364" t="str">
        <x:f>A364&amp;"|"&amp;B364</x:f>
        <x:v>|</x:v>
      </x:c>
    </x:row>
    <x:row r="365">
      <x:c r="C365" s="34"/>
      <x:c r="G365" s="38"/>
      <x:c r="H365" s="38"/>
      <x:c r="I365" s="38" t="n">
        <x:f>IF(J365="Disetujui",G365*H365,0)</x:f>
        <x:v>0</x:v>
      </x:c>
      <x:c r="L365" t="str">
        <x:f>A365&amp;"|"&amp;B365</x:f>
        <x:v>|</x:v>
      </x:c>
    </x:row>
    <x:row r="366">
      <x:c r="C366" s="34"/>
      <x:c r="G366" s="38"/>
      <x:c r="H366" s="38"/>
      <x:c r="I366" s="38" t="n">
        <x:f>IF(J366="Disetujui",G366*H366,0)</x:f>
        <x:v>0</x:v>
      </x:c>
      <x:c r="L366" t="str">
        <x:f>A366&amp;"|"&amp;B366</x:f>
        <x:v>|</x:v>
      </x:c>
    </x:row>
    <x:row r="367">
      <x:c r="C367" s="34"/>
      <x:c r="G367" s="38"/>
      <x:c r="H367" s="38"/>
      <x:c r="I367" s="38" t="n">
        <x:f>IF(J367="Disetujui",G367*H367,0)</x:f>
        <x:v>0</x:v>
      </x:c>
      <x:c r="L367" t="str">
        <x:f>A367&amp;"|"&amp;B367</x:f>
        <x:v>|</x:v>
      </x:c>
    </x:row>
    <x:row r="368">
      <x:c r="C368" s="34"/>
      <x:c r="G368" s="38"/>
      <x:c r="H368" s="38"/>
      <x:c r="I368" s="38" t="n">
        <x:f>IF(J368="Disetujui",G368*H368,0)</x:f>
        <x:v>0</x:v>
      </x:c>
      <x:c r="L368" t="str">
        <x:f>A368&amp;"|"&amp;B368</x:f>
        <x:v>|</x:v>
      </x:c>
    </x:row>
    <x:row r="369">
      <x:c r="C369" s="34"/>
      <x:c r="G369" s="38"/>
      <x:c r="H369" s="38"/>
      <x:c r="I369" s="38" t="n">
        <x:f>IF(J369="Disetujui",G369*H369,0)</x:f>
        <x:v>0</x:v>
      </x:c>
      <x:c r="L369" t="str">
        <x:f>A369&amp;"|"&amp;B369</x:f>
        <x:v>|</x:v>
      </x:c>
    </x:row>
    <x:row r="370">
      <x:c r="C370" s="34"/>
      <x:c r="G370" s="38"/>
      <x:c r="H370" s="38"/>
      <x:c r="I370" s="38" t="n">
        <x:f>IF(J370="Disetujui",G370*H370,0)</x:f>
        <x:v>0</x:v>
      </x:c>
      <x:c r="L370" t="str">
        <x:f>A370&amp;"|"&amp;B370</x:f>
        <x:v>|</x:v>
      </x:c>
    </x:row>
    <x:row r="371">
      <x:c r="C371" s="34"/>
      <x:c r="G371" s="38"/>
      <x:c r="H371" s="38"/>
      <x:c r="I371" s="38" t="n">
        <x:f>IF(J371="Disetujui",G371*H371,0)</x:f>
        <x:v>0</x:v>
      </x:c>
      <x:c r="L371" t="str">
        <x:f>A371&amp;"|"&amp;B371</x:f>
        <x:v>|</x:v>
      </x:c>
    </x:row>
    <x:row r="372">
      <x:c r="C372" s="34"/>
      <x:c r="G372" s="38"/>
      <x:c r="H372" s="38"/>
      <x:c r="I372" s="38" t="n">
        <x:f>IF(J372="Disetujui",G372*H372,0)</x:f>
        <x:v>0</x:v>
      </x:c>
      <x:c r="L372" t="str">
        <x:f>A372&amp;"|"&amp;B372</x:f>
        <x:v>|</x:v>
      </x:c>
    </x:row>
    <x:row r="373">
      <x:c r="C373" s="34"/>
      <x:c r="G373" s="38"/>
      <x:c r="H373" s="38"/>
      <x:c r="I373" s="38" t="n">
        <x:f>IF(J373="Disetujui",G373*H373,0)</x:f>
        <x:v>0</x:v>
      </x:c>
      <x:c r="L373" t="str">
        <x:f>A373&amp;"|"&amp;B373</x:f>
        <x:v>|</x:v>
      </x:c>
    </x:row>
    <x:row r="374">
      <x:c r="C374" s="34"/>
      <x:c r="G374" s="38"/>
      <x:c r="H374" s="38"/>
      <x:c r="I374" s="38" t="n">
        <x:f>IF(J374="Disetujui",G374*H374,0)</x:f>
        <x:v>0</x:v>
      </x:c>
      <x:c r="L374" t="str">
        <x:f>A374&amp;"|"&amp;B374</x:f>
        <x:v>|</x:v>
      </x:c>
    </x:row>
    <x:row r="375">
      <x:c r="C375" s="34"/>
      <x:c r="G375" s="38"/>
      <x:c r="H375" s="38"/>
      <x:c r="I375" s="38" t="n">
        <x:f>IF(J375="Disetujui",G375*H375,0)</x:f>
        <x:v>0</x:v>
      </x:c>
      <x:c r="L375" t="str">
        <x:f>A375&amp;"|"&amp;B375</x:f>
        <x:v>|</x:v>
      </x:c>
    </x:row>
    <x:row r="376">
      <x:c r="C376" s="34"/>
      <x:c r="G376" s="38"/>
      <x:c r="H376" s="38"/>
      <x:c r="I376" s="38" t="n">
        <x:f>IF(J376="Disetujui",G376*H376,0)</x:f>
        <x:v>0</x:v>
      </x:c>
      <x:c r="L376" t="str">
        <x:f>A376&amp;"|"&amp;B376</x:f>
        <x:v>|</x:v>
      </x:c>
    </x:row>
    <x:row r="377">
      <x:c r="C377" s="34"/>
      <x:c r="G377" s="38"/>
      <x:c r="H377" s="38"/>
      <x:c r="I377" s="38" t="n">
        <x:f>IF(J377="Disetujui",G377*H377,0)</x:f>
        <x:v>0</x:v>
      </x:c>
      <x:c r="L377" t="str">
        <x:f>A377&amp;"|"&amp;B377</x:f>
        <x:v>|</x:v>
      </x:c>
    </x:row>
    <x:row r="378">
      <x:c r="C378" s="34"/>
      <x:c r="G378" s="38"/>
      <x:c r="H378" s="38"/>
      <x:c r="I378" s="38" t="n">
        <x:f>IF(J378="Disetujui",G378*H378,0)</x:f>
        <x:v>0</x:v>
      </x:c>
      <x:c r="L378" t="str">
        <x:f>A378&amp;"|"&amp;B378</x:f>
        <x:v>|</x:v>
      </x:c>
    </x:row>
    <x:row r="379">
      <x:c r="C379" s="34"/>
      <x:c r="G379" s="38"/>
      <x:c r="H379" s="38"/>
      <x:c r="I379" s="38" t="n">
        <x:f>IF(J379="Disetujui",G379*H379,0)</x:f>
        <x:v>0</x:v>
      </x:c>
      <x:c r="L379" t="str">
        <x:f>A379&amp;"|"&amp;B379</x:f>
        <x:v>|</x:v>
      </x:c>
    </x:row>
    <x:row r="380">
      <x:c r="C380" s="34"/>
      <x:c r="G380" s="38"/>
      <x:c r="H380" s="38"/>
      <x:c r="I380" s="38" t="n">
        <x:f>IF(J380="Disetujui",G380*H380,0)</x:f>
        <x:v>0</x:v>
      </x:c>
      <x:c r="L380" t="str">
        <x:f>A380&amp;"|"&amp;B380</x:f>
        <x:v>|</x:v>
      </x:c>
    </x:row>
    <x:row r="381">
      <x:c r="C381" s="34"/>
      <x:c r="G381" s="38"/>
      <x:c r="H381" s="38"/>
      <x:c r="I381" s="38" t="n">
        <x:f>IF(J381="Disetujui",G381*H381,0)</x:f>
        <x:v>0</x:v>
      </x:c>
      <x:c r="L381" t="str">
        <x:f>A381&amp;"|"&amp;B381</x:f>
        <x:v>|</x:v>
      </x:c>
    </x:row>
    <x:row r="382">
      <x:c r="C382" s="34"/>
      <x:c r="G382" s="38"/>
      <x:c r="H382" s="38"/>
      <x:c r="I382" s="38" t="n">
        <x:f>IF(J382="Disetujui",G382*H382,0)</x:f>
        <x:v>0</x:v>
      </x:c>
      <x:c r="L382" t="str">
        <x:f>A382&amp;"|"&amp;B382</x:f>
        <x:v>|</x:v>
      </x:c>
    </x:row>
    <x:row r="383">
      <x:c r="C383" s="34"/>
      <x:c r="G383" s="38"/>
      <x:c r="H383" s="38"/>
      <x:c r="I383" s="38" t="n">
        <x:f>IF(J383="Disetujui",G383*H383,0)</x:f>
        <x:v>0</x:v>
      </x:c>
      <x:c r="L383" t="str">
        <x:f>A383&amp;"|"&amp;B383</x:f>
        <x:v>|</x:v>
      </x:c>
    </x:row>
    <x:row r="384">
      <x:c r="C384" s="34"/>
      <x:c r="G384" s="38"/>
      <x:c r="H384" s="38"/>
      <x:c r="I384" s="38" t="n">
        <x:f>IF(J384="Disetujui",G384*H384,0)</x:f>
        <x:v>0</x:v>
      </x:c>
      <x:c r="L384" t="str">
        <x:f>A384&amp;"|"&amp;B384</x:f>
        <x:v>|</x:v>
      </x:c>
    </x:row>
    <x:row r="385">
      <x:c r="C385" s="34"/>
      <x:c r="G385" s="38"/>
      <x:c r="H385" s="38"/>
      <x:c r="I385" s="38" t="n">
        <x:f>IF(J385="Disetujui",G385*H385,0)</x:f>
        <x:v>0</x:v>
      </x:c>
      <x:c r="L385" t="str">
        <x:f>A385&amp;"|"&amp;B385</x:f>
        <x:v>|</x:v>
      </x:c>
    </x:row>
    <x:row r="386">
      <x:c r="C386" s="34"/>
      <x:c r="G386" s="38"/>
      <x:c r="H386" s="38"/>
      <x:c r="I386" s="38" t="n">
        <x:f>IF(J386="Disetujui",G386*H386,0)</x:f>
        <x:v>0</x:v>
      </x:c>
      <x:c r="L386" t="str">
        <x:f>A386&amp;"|"&amp;B386</x:f>
        <x:v>|</x:v>
      </x:c>
    </x:row>
    <x:row r="387">
      <x:c r="C387" s="34"/>
      <x:c r="G387" s="38"/>
      <x:c r="H387" s="38"/>
      <x:c r="I387" s="38" t="n">
        <x:f>IF(J387="Disetujui",G387*H387,0)</x:f>
        <x:v>0</x:v>
      </x:c>
      <x:c r="L387" t="str">
        <x:f>A387&amp;"|"&amp;B387</x:f>
        <x:v>|</x:v>
      </x:c>
    </x:row>
    <x:row r="388">
      <x:c r="C388" s="34"/>
      <x:c r="G388" s="38"/>
      <x:c r="H388" s="38"/>
      <x:c r="I388" s="38" t="n">
        <x:f>IF(J388="Disetujui",G388*H388,0)</x:f>
        <x:v>0</x:v>
      </x:c>
      <x:c r="L388" t="str">
        <x:f>A388&amp;"|"&amp;B388</x:f>
        <x:v>|</x:v>
      </x:c>
    </x:row>
    <x:row r="389">
      <x:c r="C389" s="34"/>
      <x:c r="G389" s="38"/>
      <x:c r="H389" s="38"/>
      <x:c r="I389" s="38" t="n">
        <x:f>IF(J389="Disetujui",G389*H389,0)</x:f>
        <x:v>0</x:v>
      </x:c>
      <x:c r="L389" t="str">
        <x:f>A389&amp;"|"&amp;B389</x:f>
        <x:v>|</x:v>
      </x:c>
    </x:row>
    <x:row r="390">
      <x:c r="C390" s="34"/>
      <x:c r="G390" s="38"/>
      <x:c r="H390" s="38"/>
      <x:c r="I390" s="38" t="n">
        <x:f>IF(J390="Disetujui",G390*H390,0)</x:f>
        <x:v>0</x:v>
      </x:c>
      <x:c r="L390" t="str">
        <x:f>A390&amp;"|"&amp;B390</x:f>
        <x:v>|</x:v>
      </x:c>
    </x:row>
    <x:row r="391">
      <x:c r="C391" s="34"/>
      <x:c r="G391" s="38"/>
      <x:c r="H391" s="38"/>
      <x:c r="I391" s="38" t="n">
        <x:f>IF(J391="Disetujui",G391*H391,0)</x:f>
        <x:v>0</x:v>
      </x:c>
      <x:c r="L391" t="str">
        <x:f>A391&amp;"|"&amp;B391</x:f>
        <x:v>|</x:v>
      </x:c>
    </x:row>
    <x:row r="392">
      <x:c r="C392" s="34"/>
      <x:c r="G392" s="38"/>
      <x:c r="H392" s="38"/>
      <x:c r="I392" s="38" t="n">
        <x:f>IF(J392="Disetujui",G392*H392,0)</x:f>
        <x:v>0</x:v>
      </x:c>
      <x:c r="L392" t="str">
        <x:f>A392&amp;"|"&amp;B392</x:f>
        <x:v>|</x:v>
      </x:c>
    </x:row>
    <x:row r="393">
      <x:c r="C393" s="34"/>
      <x:c r="G393" s="38"/>
      <x:c r="H393" s="38"/>
      <x:c r="I393" s="38" t="n">
        <x:f>IF(J393="Disetujui",G393*H393,0)</x:f>
        <x:v>0</x:v>
      </x:c>
      <x:c r="L393" t="str">
        <x:f>A393&amp;"|"&amp;B393</x:f>
        <x:v>|</x:v>
      </x:c>
    </x:row>
    <x:row r="394">
      <x:c r="C394" s="34"/>
      <x:c r="G394" s="38"/>
      <x:c r="H394" s="38"/>
      <x:c r="I394" s="38" t="n">
        <x:f>IF(J394="Disetujui",G394*H394,0)</x:f>
        <x:v>0</x:v>
      </x:c>
      <x:c r="L394" t="str">
        <x:f>A394&amp;"|"&amp;B394</x:f>
        <x:v>|</x:v>
      </x:c>
    </x:row>
    <x:row r="395">
      <x:c r="C395" s="34"/>
      <x:c r="G395" s="38"/>
      <x:c r="H395" s="38"/>
      <x:c r="I395" s="38" t="n">
        <x:f>IF(J395="Disetujui",G395*H395,0)</x:f>
        <x:v>0</x:v>
      </x:c>
      <x:c r="L395" t="str">
        <x:f>A395&amp;"|"&amp;B395</x:f>
        <x:v>|</x:v>
      </x:c>
    </x:row>
    <x:row r="396">
      <x:c r="C396" s="34"/>
      <x:c r="G396" s="38"/>
      <x:c r="H396" s="38"/>
      <x:c r="I396" s="38" t="n">
        <x:f>IF(J396="Disetujui",G396*H396,0)</x:f>
        <x:v>0</x:v>
      </x:c>
      <x:c r="L396" t="str">
        <x:f>A396&amp;"|"&amp;B396</x:f>
        <x:v>|</x:v>
      </x:c>
    </x:row>
    <x:row r="397">
      <x:c r="C397" s="34"/>
      <x:c r="G397" s="38"/>
      <x:c r="H397" s="38"/>
      <x:c r="I397" s="38" t="n">
        <x:f>IF(J397="Disetujui",G397*H397,0)</x:f>
        <x:v>0</x:v>
      </x:c>
      <x:c r="L397" t="str">
        <x:f>A397&amp;"|"&amp;B397</x:f>
        <x:v>|</x:v>
      </x:c>
    </x:row>
    <x:row r="398">
      <x:c r="C398" s="34"/>
      <x:c r="G398" s="38"/>
      <x:c r="H398" s="38"/>
      <x:c r="I398" s="38" t="n">
        <x:f>IF(J398="Disetujui",G398*H398,0)</x:f>
        <x:v>0</x:v>
      </x:c>
      <x:c r="L398" t="str">
        <x:f>A398&amp;"|"&amp;B398</x:f>
        <x:v>|</x:v>
      </x:c>
    </x:row>
    <x:row r="399">
      <x:c r="C399" s="34"/>
      <x:c r="G399" s="38"/>
      <x:c r="H399" s="38"/>
      <x:c r="I399" s="38" t="n">
        <x:f>IF(J399="Disetujui",G399*H399,0)</x:f>
        <x:v>0</x:v>
      </x:c>
      <x:c r="L399" t="str">
        <x:f>A399&amp;"|"&amp;B399</x:f>
        <x:v>|</x:v>
      </x:c>
    </x:row>
    <x:row r="400">
      <x:c r="C400" s="34"/>
      <x:c r="G400" s="38"/>
      <x:c r="H400" s="38"/>
      <x:c r="I400" s="38" t="n">
        <x:f>IF(J400="Disetujui",G400*H400,0)</x:f>
        <x:v>0</x:v>
      </x:c>
      <x:c r="L400" t="str">
        <x:f>A400&amp;"|"&amp;B400</x:f>
        <x:v>|</x:v>
      </x:c>
    </x:row>
    <x:row r="401">
      <x:c r="C401" s="34"/>
      <x:c r="G401" s="38"/>
      <x:c r="H401" s="38"/>
      <x:c r="I401" s="38" t="n">
        <x:f>IF(J401="Disetujui",G401*H401,0)</x:f>
        <x:v>0</x:v>
      </x:c>
      <x:c r="L401" t="str">
        <x:f>A401&amp;"|"&amp;B401</x:f>
        <x:v>|</x:v>
      </x:c>
    </x:row>
    <x:row r="402">
      <x:c r="C402" s="34"/>
      <x:c r="G402" s="38"/>
      <x:c r="H402" s="38"/>
      <x:c r="I402" s="38" t="n">
        <x:f>IF(J402="Disetujui",G402*H402,0)</x:f>
        <x:v>0</x:v>
      </x:c>
      <x:c r="L402" t="str">
        <x:f>A402&amp;"|"&amp;B402</x:f>
        <x:v>|</x:v>
      </x:c>
    </x:row>
    <x:row r="403">
      <x:c r="C403" s="34"/>
      <x:c r="G403" s="38"/>
      <x:c r="H403" s="38"/>
      <x:c r="I403" s="38" t="n">
        <x:f>IF(J403="Disetujui",G403*H403,0)</x:f>
        <x:v>0</x:v>
      </x:c>
      <x:c r="L403" t="str">
        <x:f>A403&amp;"|"&amp;B403</x:f>
        <x:v>|</x:v>
      </x:c>
    </x:row>
    <x:row r="404">
      <x:c r="C404" s="34"/>
      <x:c r="G404" s="38"/>
      <x:c r="H404" s="38"/>
      <x:c r="I404" s="38" t="n">
        <x:f>IF(J404="Disetujui",G404*H404,0)</x:f>
        <x:v>0</x:v>
      </x:c>
      <x:c r="L404" t="str">
        <x:f>A404&amp;"|"&amp;B404</x:f>
        <x:v>|</x:v>
      </x:c>
    </x:row>
    <x:row r="405">
      <x:c r="C405" s="34"/>
      <x:c r="G405" s="38"/>
      <x:c r="H405" s="38"/>
      <x:c r="I405" s="38" t="n">
        <x:f>IF(J405="Disetujui",G405*H405,0)</x:f>
        <x:v>0</x:v>
      </x:c>
      <x:c r="L405" t="str">
        <x:f>A405&amp;"|"&amp;B405</x:f>
        <x:v>|</x:v>
      </x:c>
    </x:row>
    <x:row r="406">
      <x:c r="C406" s="34"/>
      <x:c r="G406" s="38"/>
      <x:c r="H406" s="38"/>
      <x:c r="I406" s="38" t="n">
        <x:f>IF(J406="Disetujui",G406*H406,0)</x:f>
        <x:v>0</x:v>
      </x:c>
      <x:c r="L406" t="str">
        <x:f>A406&amp;"|"&amp;B406</x:f>
        <x:v>|</x:v>
      </x:c>
    </x:row>
    <x:row r="407">
      <x:c r="C407" s="34"/>
      <x:c r="G407" s="38"/>
      <x:c r="H407" s="38"/>
      <x:c r="I407" s="38" t="n">
        <x:f>IF(J407="Disetujui",G407*H407,0)</x:f>
        <x:v>0</x:v>
      </x:c>
      <x:c r="L407" t="str">
        <x:f>A407&amp;"|"&amp;B407</x:f>
        <x:v>|</x:v>
      </x:c>
    </x:row>
    <x:row r="408">
      <x:c r="C408" s="34"/>
      <x:c r="G408" s="38"/>
      <x:c r="H408" s="38"/>
      <x:c r="I408" s="38" t="n">
        <x:f>IF(J408="Disetujui",G408*H408,0)</x:f>
        <x:v>0</x:v>
      </x:c>
      <x:c r="L408" t="str">
        <x:f>A408&amp;"|"&amp;B408</x:f>
        <x:v>|</x:v>
      </x:c>
    </x:row>
    <x:row r="409">
      <x:c r="C409" s="34"/>
      <x:c r="G409" s="38"/>
      <x:c r="H409" s="38"/>
      <x:c r="I409" s="38" t="n">
        <x:f>IF(J409="Disetujui",G409*H409,0)</x:f>
        <x:v>0</x:v>
      </x:c>
      <x:c r="L409" t="str">
        <x:f>A409&amp;"|"&amp;B409</x:f>
        <x:v>|</x:v>
      </x:c>
    </x:row>
    <x:row r="410">
      <x:c r="C410" s="34"/>
      <x:c r="G410" s="38"/>
      <x:c r="H410" s="38"/>
      <x:c r="I410" s="38" t="n">
        <x:f>IF(J410="Disetujui",G410*H410,0)</x:f>
        <x:v>0</x:v>
      </x:c>
      <x:c r="L410" t="str">
        <x:f>A410&amp;"|"&amp;B410</x:f>
        <x:v>|</x:v>
      </x:c>
    </x:row>
    <x:row r="411">
      <x:c r="C411" s="34"/>
      <x:c r="G411" s="38"/>
      <x:c r="H411" s="38"/>
      <x:c r="I411" s="38" t="n">
        <x:f>IF(J411="Disetujui",G411*H411,0)</x:f>
        <x:v>0</x:v>
      </x:c>
      <x:c r="L411" t="str">
        <x:f>A411&amp;"|"&amp;B411</x:f>
        <x:v>|</x:v>
      </x:c>
    </x:row>
    <x:row r="412">
      <x:c r="C412" s="34"/>
      <x:c r="G412" s="38"/>
      <x:c r="H412" s="38"/>
      <x:c r="I412" s="38" t="n">
        <x:f>IF(J412="Disetujui",G412*H412,0)</x:f>
        <x:v>0</x:v>
      </x:c>
      <x:c r="L412" t="str">
        <x:f>A412&amp;"|"&amp;B412</x:f>
        <x:v>|</x:v>
      </x:c>
    </x:row>
    <x:row r="413">
      <x:c r="C413" s="34"/>
      <x:c r="G413" s="38"/>
      <x:c r="H413" s="38"/>
      <x:c r="I413" s="38" t="n">
        <x:f>IF(J413="Disetujui",G413*H413,0)</x:f>
        <x:v>0</x:v>
      </x:c>
      <x:c r="L413" t="str">
        <x:f>A413&amp;"|"&amp;B413</x:f>
        <x:v>|</x:v>
      </x:c>
    </x:row>
    <x:row r="414">
      <x:c r="C414" s="34"/>
      <x:c r="G414" s="38"/>
      <x:c r="H414" s="38"/>
      <x:c r="I414" s="38" t="n">
        <x:f>IF(J414="Disetujui",G414*H414,0)</x:f>
        <x:v>0</x:v>
      </x:c>
      <x:c r="L414" t="str">
        <x:f>A414&amp;"|"&amp;B414</x:f>
        <x:v>|</x:v>
      </x:c>
    </x:row>
    <x:row r="415">
      <x:c r="C415" s="34"/>
      <x:c r="G415" s="38"/>
      <x:c r="H415" s="38"/>
      <x:c r="I415" s="38" t="n">
        <x:f>IF(J415="Disetujui",G415*H415,0)</x:f>
        <x:v>0</x:v>
      </x:c>
      <x:c r="L415" t="str">
        <x:f>A415&amp;"|"&amp;B415</x:f>
        <x:v>|</x:v>
      </x:c>
    </x:row>
    <x:row r="416">
      <x:c r="C416" s="34"/>
      <x:c r="G416" s="38"/>
      <x:c r="H416" s="38"/>
      <x:c r="I416" s="38" t="n">
        <x:f>IF(J416="Disetujui",G416*H416,0)</x:f>
        <x:v>0</x:v>
      </x:c>
      <x:c r="L416" t="str">
        <x:f>A416&amp;"|"&amp;B416</x:f>
        <x:v>|</x:v>
      </x:c>
    </x:row>
    <x:row r="417">
      <x:c r="C417" s="34"/>
      <x:c r="G417" s="38"/>
      <x:c r="H417" s="38"/>
      <x:c r="I417" s="38" t="n">
        <x:f>IF(J417="Disetujui",G417*H417,0)</x:f>
        <x:v>0</x:v>
      </x:c>
      <x:c r="L417" t="str">
        <x:f>A417&amp;"|"&amp;B417</x:f>
        <x:v>|</x:v>
      </x:c>
    </x:row>
    <x:row r="418">
      <x:c r="C418" s="34"/>
      <x:c r="G418" s="38"/>
      <x:c r="H418" s="38"/>
      <x:c r="I418" s="38" t="n">
        <x:f>IF(J418="Disetujui",G418*H418,0)</x:f>
        <x:v>0</x:v>
      </x:c>
      <x:c r="L418" t="str">
        <x:f>A418&amp;"|"&amp;B418</x:f>
        <x:v>|</x:v>
      </x:c>
    </x:row>
    <x:row r="419">
      <x:c r="C419" s="34"/>
      <x:c r="G419" s="38"/>
      <x:c r="H419" s="38"/>
      <x:c r="I419" s="38" t="n">
        <x:f>IF(J419="Disetujui",G419*H419,0)</x:f>
        <x:v>0</x:v>
      </x:c>
      <x:c r="L419" t="str">
        <x:f>A419&amp;"|"&amp;B419</x:f>
        <x:v>|</x:v>
      </x:c>
    </x:row>
    <x:row r="420">
      <x:c r="C420" s="34"/>
      <x:c r="G420" s="38"/>
      <x:c r="H420" s="38"/>
      <x:c r="I420" s="38" t="n">
        <x:f>IF(J420="Disetujui",G420*H420,0)</x:f>
        <x:v>0</x:v>
      </x:c>
      <x:c r="L420" t="str">
        <x:f>A420&amp;"|"&amp;B420</x:f>
        <x:v>|</x:v>
      </x:c>
    </x:row>
    <x:row r="421">
      <x:c r="C421" s="34"/>
      <x:c r="G421" s="38"/>
      <x:c r="H421" s="38"/>
      <x:c r="I421" s="38" t="n">
        <x:f>IF(J421="Disetujui",G421*H421,0)</x:f>
        <x:v>0</x:v>
      </x:c>
      <x:c r="L421" t="str">
        <x:f>A421&amp;"|"&amp;B421</x:f>
        <x:v>|</x:v>
      </x:c>
    </x:row>
    <x:row r="422">
      <x:c r="C422" s="34"/>
      <x:c r="G422" s="38"/>
      <x:c r="H422" s="38"/>
      <x:c r="I422" s="38" t="n">
        <x:f>IF(J422="Disetujui",G422*H422,0)</x:f>
        <x:v>0</x:v>
      </x:c>
      <x:c r="L422" t="str">
        <x:f>A422&amp;"|"&amp;B422</x:f>
        <x:v>|</x:v>
      </x:c>
    </x:row>
    <x:row r="423">
      <x:c r="C423" s="34"/>
      <x:c r="G423" s="38"/>
      <x:c r="H423" s="38"/>
      <x:c r="I423" s="38" t="n">
        <x:f>IF(J423="Disetujui",G423*H423,0)</x:f>
        <x:v>0</x:v>
      </x:c>
      <x:c r="L423" t="str">
        <x:f>A423&amp;"|"&amp;B423</x:f>
        <x:v>|</x:v>
      </x:c>
    </x:row>
    <x:row r="424">
      <x:c r="C424" s="34"/>
      <x:c r="G424" s="38"/>
      <x:c r="H424" s="38"/>
      <x:c r="I424" s="38" t="n">
        <x:f>IF(J424="Disetujui",G424*H424,0)</x:f>
        <x:v>0</x:v>
      </x:c>
      <x:c r="L424" t="str">
        <x:f>A424&amp;"|"&amp;B424</x:f>
        <x:v>|</x:v>
      </x:c>
    </x:row>
    <x:row r="425">
      <x:c r="C425" s="34"/>
      <x:c r="G425" s="38"/>
      <x:c r="H425" s="38"/>
      <x:c r="I425" s="38" t="n">
        <x:f>IF(J425="Disetujui",G425*H425,0)</x:f>
        <x:v>0</x:v>
      </x:c>
      <x:c r="L425" t="str">
        <x:f>A425&amp;"|"&amp;B425</x:f>
        <x:v>|</x:v>
      </x:c>
    </x:row>
    <x:row r="426">
      <x:c r="C426" s="34"/>
      <x:c r="G426" s="38"/>
      <x:c r="H426" s="38"/>
      <x:c r="I426" s="38" t="n">
        <x:f>IF(J426="Disetujui",G426*H426,0)</x:f>
        <x:v>0</x:v>
      </x:c>
      <x:c r="L426" t="str">
        <x:f>A426&amp;"|"&amp;B426</x:f>
        <x:v>|</x:v>
      </x:c>
    </x:row>
    <x:row r="427">
      <x:c r="C427" s="34"/>
      <x:c r="G427" s="38"/>
      <x:c r="H427" s="38"/>
      <x:c r="I427" s="38" t="n">
        <x:f>IF(J427="Disetujui",G427*H427,0)</x:f>
        <x:v>0</x:v>
      </x:c>
      <x:c r="L427" t="str">
        <x:f>A427&amp;"|"&amp;B427</x:f>
        <x:v>|</x:v>
      </x:c>
    </x:row>
    <x:row r="428">
      <x:c r="C428" s="34"/>
      <x:c r="G428" s="38"/>
      <x:c r="H428" s="38"/>
      <x:c r="I428" s="38" t="n">
        <x:f>IF(J428="Disetujui",G428*H428,0)</x:f>
        <x:v>0</x:v>
      </x:c>
      <x:c r="L428" t="str">
        <x:f>A428&amp;"|"&amp;B428</x:f>
        <x:v>|</x:v>
      </x:c>
    </x:row>
    <x:row r="429">
      <x:c r="C429" s="34"/>
      <x:c r="G429" s="38"/>
      <x:c r="H429" s="38"/>
      <x:c r="I429" s="38" t="n">
        <x:f>IF(J429="Disetujui",G429*H429,0)</x:f>
        <x:v>0</x:v>
      </x:c>
      <x:c r="L429" t="str">
        <x:f>A429&amp;"|"&amp;B429</x:f>
        <x:v>|</x:v>
      </x:c>
    </x:row>
    <x:row r="430">
      <x:c r="C430" s="34"/>
      <x:c r="G430" s="38"/>
      <x:c r="H430" s="38"/>
      <x:c r="I430" s="38" t="n">
        <x:f>IF(J430="Disetujui",G430*H430,0)</x:f>
        <x:v>0</x:v>
      </x:c>
      <x:c r="L430" t="str">
        <x:f>A430&amp;"|"&amp;B430</x:f>
        <x:v>|</x:v>
      </x:c>
    </x:row>
    <x:row r="431">
      <x:c r="C431" s="34"/>
      <x:c r="G431" s="38"/>
      <x:c r="H431" s="38"/>
      <x:c r="I431" s="38" t="n">
        <x:f>IF(J431="Disetujui",G431*H431,0)</x:f>
        <x:v>0</x:v>
      </x:c>
      <x:c r="L431" t="str">
        <x:f>A431&amp;"|"&amp;B431</x:f>
        <x:v>|</x:v>
      </x:c>
    </x:row>
    <x:row r="432">
      <x:c r="C432" s="34"/>
      <x:c r="G432" s="38"/>
      <x:c r="H432" s="38"/>
      <x:c r="I432" s="38" t="n">
        <x:f>IF(J432="Disetujui",G432*H432,0)</x:f>
        <x:v>0</x:v>
      </x:c>
      <x:c r="L432" t="str">
        <x:f>A432&amp;"|"&amp;B432</x:f>
        <x:v>|</x:v>
      </x:c>
    </x:row>
    <x:row r="433">
      <x:c r="C433" s="34"/>
      <x:c r="G433" s="38"/>
      <x:c r="H433" s="38"/>
      <x:c r="I433" s="38" t="n">
        <x:f>IF(J433="Disetujui",G433*H433,0)</x:f>
        <x:v>0</x:v>
      </x:c>
      <x:c r="L433" t="str">
        <x:f>A433&amp;"|"&amp;B433</x:f>
        <x:v>|</x:v>
      </x:c>
    </x:row>
    <x:row r="434">
      <x:c r="C434" s="34"/>
      <x:c r="G434" s="38"/>
      <x:c r="H434" s="38"/>
      <x:c r="I434" s="38" t="n">
        <x:f>IF(J434="Disetujui",G434*H434,0)</x:f>
        <x:v>0</x:v>
      </x:c>
      <x:c r="L434" t="str">
        <x:f>A434&amp;"|"&amp;B434</x:f>
        <x:v>|</x:v>
      </x:c>
    </x:row>
    <x:row r="435">
      <x:c r="C435" s="34"/>
      <x:c r="G435" s="38"/>
      <x:c r="H435" s="38"/>
      <x:c r="I435" s="38" t="n">
        <x:f>IF(J435="Disetujui",G435*H435,0)</x:f>
        <x:v>0</x:v>
      </x:c>
      <x:c r="L435" t="str">
        <x:f>A435&amp;"|"&amp;B435</x:f>
        <x:v>|</x:v>
      </x:c>
    </x:row>
    <x:row r="436">
      <x:c r="C436" s="34"/>
      <x:c r="G436" s="38"/>
      <x:c r="H436" s="38"/>
      <x:c r="I436" s="38" t="n">
        <x:f>IF(J436="Disetujui",G436*H436,0)</x:f>
        <x:v>0</x:v>
      </x:c>
      <x:c r="L436" t="str">
        <x:f>A436&amp;"|"&amp;B436</x:f>
        <x:v>|</x:v>
      </x:c>
    </x:row>
    <x:row r="437">
      <x:c r="C437" s="34"/>
      <x:c r="G437" s="38"/>
      <x:c r="H437" s="38"/>
      <x:c r="I437" s="38" t="n">
        <x:f>IF(J437="Disetujui",G437*H437,0)</x:f>
        <x:v>0</x:v>
      </x:c>
      <x:c r="L437" t="str">
        <x:f>A437&amp;"|"&amp;B437</x:f>
        <x:v>|</x:v>
      </x:c>
    </x:row>
    <x:row r="438">
      <x:c r="C438" s="34"/>
      <x:c r="G438" s="38"/>
      <x:c r="H438" s="38"/>
      <x:c r="I438" s="38" t="n">
        <x:f>IF(J438="Disetujui",G438*H438,0)</x:f>
        <x:v>0</x:v>
      </x:c>
      <x:c r="L438" t="str">
        <x:f>A438&amp;"|"&amp;B438</x:f>
        <x:v>|</x:v>
      </x:c>
    </x:row>
    <x:row r="439">
      <x:c r="C439" s="34"/>
      <x:c r="G439" s="38"/>
      <x:c r="H439" s="38"/>
      <x:c r="I439" s="38" t="n">
        <x:f>IF(J439="Disetujui",G439*H439,0)</x:f>
        <x:v>0</x:v>
      </x:c>
      <x:c r="L439" t="str">
        <x:f>A439&amp;"|"&amp;B439</x:f>
        <x:v>|</x:v>
      </x:c>
    </x:row>
    <x:row r="440">
      <x:c r="C440" s="34"/>
      <x:c r="G440" s="38"/>
      <x:c r="H440" s="38"/>
      <x:c r="I440" s="38" t="n">
        <x:f>IF(J440="Disetujui",G440*H440,0)</x:f>
        <x:v>0</x:v>
      </x:c>
      <x:c r="L440" t="str">
        <x:f>A440&amp;"|"&amp;B440</x:f>
        <x:v>|</x:v>
      </x:c>
    </x:row>
    <x:row r="441">
      <x:c r="C441" s="34"/>
      <x:c r="G441" s="38"/>
      <x:c r="H441" s="38"/>
      <x:c r="I441" s="38" t="n">
        <x:f>IF(J441="Disetujui",G441*H441,0)</x:f>
        <x:v>0</x:v>
      </x:c>
      <x:c r="L441" t="str">
        <x:f>A441&amp;"|"&amp;B441</x:f>
        <x:v>|</x:v>
      </x:c>
    </x:row>
    <x:row r="442">
      <x:c r="C442" s="34"/>
      <x:c r="G442" s="38"/>
      <x:c r="H442" s="38"/>
      <x:c r="I442" s="38" t="n">
        <x:f>IF(J442="Disetujui",G442*H442,0)</x:f>
        <x:v>0</x:v>
      </x:c>
      <x:c r="L442" t="str">
        <x:f>A442&amp;"|"&amp;B442</x:f>
        <x:v>|</x:v>
      </x:c>
    </x:row>
    <x:row r="443">
      <x:c r="C443" s="34"/>
      <x:c r="G443" s="38"/>
      <x:c r="H443" s="38"/>
      <x:c r="I443" s="38" t="n">
        <x:f>IF(J443="Disetujui",G443*H443,0)</x:f>
        <x:v>0</x:v>
      </x:c>
      <x:c r="L443" t="str">
        <x:f>A443&amp;"|"&amp;B443</x:f>
        <x:v>|</x:v>
      </x:c>
    </x:row>
    <x:row r="444">
      <x:c r="C444" s="34"/>
      <x:c r="G444" s="38"/>
      <x:c r="H444" s="38"/>
      <x:c r="I444" s="38" t="n">
        <x:f>IF(J444="Disetujui",G444*H444,0)</x:f>
        <x:v>0</x:v>
      </x:c>
      <x:c r="L444" t="str">
        <x:f>A444&amp;"|"&amp;B444</x:f>
        <x:v>|</x:v>
      </x:c>
    </x:row>
    <x:row r="445">
      <x:c r="C445" s="34"/>
      <x:c r="G445" s="38"/>
      <x:c r="H445" s="38"/>
      <x:c r="I445" s="38" t="n">
        <x:f>IF(J445="Disetujui",G445*H445,0)</x:f>
        <x:v>0</x:v>
      </x:c>
      <x:c r="L445" t="str">
        <x:f>A445&amp;"|"&amp;B445</x:f>
        <x:v>|</x:v>
      </x:c>
    </x:row>
    <x:row r="446">
      <x:c r="C446" s="34"/>
      <x:c r="G446" s="38"/>
      <x:c r="H446" s="38"/>
      <x:c r="I446" s="38" t="n">
        <x:f>IF(J446="Disetujui",G446*H446,0)</x:f>
        <x:v>0</x:v>
      </x:c>
      <x:c r="L446" t="str">
        <x:f>A446&amp;"|"&amp;B446</x:f>
        <x:v>|</x:v>
      </x:c>
    </x:row>
    <x:row r="447">
      <x:c r="C447" s="34"/>
      <x:c r="G447" s="38"/>
      <x:c r="H447" s="38"/>
      <x:c r="I447" s="38" t="n">
        <x:f>IF(J447="Disetujui",G447*H447,0)</x:f>
        <x:v>0</x:v>
      </x:c>
      <x:c r="L447" t="str">
        <x:f>A447&amp;"|"&amp;B447</x:f>
        <x:v>|</x:v>
      </x:c>
    </x:row>
    <x:row r="448">
      <x:c r="C448" s="34"/>
      <x:c r="G448" s="38"/>
      <x:c r="H448" s="38"/>
      <x:c r="I448" s="38" t="n">
        <x:f>IF(J448="Disetujui",G448*H448,0)</x:f>
        <x:v>0</x:v>
      </x:c>
      <x:c r="L448" t="str">
        <x:f>A448&amp;"|"&amp;B448</x:f>
        <x:v>|</x:v>
      </x:c>
    </x:row>
    <x:row r="449">
      <x:c r="C449" s="34"/>
      <x:c r="G449" s="38"/>
      <x:c r="H449" s="38"/>
      <x:c r="I449" s="38" t="n">
        <x:f>IF(J449="Disetujui",G449*H449,0)</x:f>
        <x:v>0</x:v>
      </x:c>
      <x:c r="L449" t="str">
        <x:f>A449&amp;"|"&amp;B449</x:f>
        <x:v>|</x:v>
      </x:c>
    </x:row>
    <x:row r="450">
      <x:c r="C450" s="34"/>
      <x:c r="G450" s="38"/>
      <x:c r="H450" s="38"/>
      <x:c r="I450" s="38" t="n">
        <x:f>IF(J450="Disetujui",G450*H450,0)</x:f>
        <x:v>0</x:v>
      </x:c>
      <x:c r="L450" t="str">
        <x:f>A450&amp;"|"&amp;B450</x:f>
        <x:v>|</x:v>
      </x:c>
    </x:row>
    <x:row r="451">
      <x:c r="C451" s="34"/>
      <x:c r="G451" s="38"/>
      <x:c r="H451" s="38"/>
      <x:c r="I451" s="38" t="n">
        <x:f>IF(J451="Disetujui",G451*H451,0)</x:f>
        <x:v>0</x:v>
      </x:c>
      <x:c r="L451" t="str">
        <x:f>A451&amp;"|"&amp;B451</x:f>
        <x:v>|</x:v>
      </x:c>
    </x:row>
    <x:row r="452">
      <x:c r="C452" s="34"/>
      <x:c r="G452" s="38"/>
      <x:c r="H452" s="38"/>
      <x:c r="I452" s="38" t="n">
        <x:f>IF(J452="Disetujui",G452*H452,0)</x:f>
        <x:v>0</x:v>
      </x:c>
      <x:c r="L452" t="str">
        <x:f>A452&amp;"|"&amp;B452</x:f>
        <x:v>|</x:v>
      </x:c>
    </x:row>
    <x:row r="453">
      <x:c r="C453" s="34"/>
      <x:c r="G453" s="38"/>
      <x:c r="H453" s="38"/>
      <x:c r="I453" s="38" t="n">
        <x:f>IF(J453="Disetujui",G453*H453,0)</x:f>
        <x:v>0</x:v>
      </x:c>
      <x:c r="L453" t="str">
        <x:f>A453&amp;"|"&amp;B453</x:f>
        <x:v>|</x:v>
      </x:c>
    </x:row>
    <x:row r="454">
      <x:c r="C454" s="34"/>
      <x:c r="G454" s="38"/>
      <x:c r="H454" s="38"/>
      <x:c r="I454" s="38" t="n">
        <x:f>IF(J454="Disetujui",G454*H454,0)</x:f>
        <x:v>0</x:v>
      </x:c>
      <x:c r="L454" t="str">
        <x:f>A454&amp;"|"&amp;B454</x:f>
        <x:v>|</x:v>
      </x:c>
    </x:row>
    <x:row r="455">
      <x:c r="C455" s="34"/>
      <x:c r="G455" s="38"/>
      <x:c r="H455" s="38"/>
      <x:c r="I455" s="38" t="n">
        <x:f>IF(J455="Disetujui",G455*H455,0)</x:f>
        <x:v>0</x:v>
      </x:c>
      <x:c r="L455" t="str">
        <x:f>A455&amp;"|"&amp;B455</x:f>
        <x:v>|</x:v>
      </x:c>
    </x:row>
    <x:row r="456">
      <x:c r="C456" s="34"/>
      <x:c r="G456" s="38"/>
      <x:c r="H456" s="38"/>
      <x:c r="I456" s="38" t="n">
        <x:f>IF(J456="Disetujui",G456*H456,0)</x:f>
        <x:v>0</x:v>
      </x:c>
      <x:c r="L456" t="str">
        <x:f>A456&amp;"|"&amp;B456</x:f>
        <x:v>|</x:v>
      </x:c>
    </x:row>
    <x:row r="457">
      <x:c r="C457" s="34"/>
      <x:c r="G457" s="38"/>
      <x:c r="H457" s="38"/>
      <x:c r="I457" s="38" t="n">
        <x:f>IF(J457="Disetujui",G457*H457,0)</x:f>
        <x:v>0</x:v>
      </x:c>
      <x:c r="L457" t="str">
        <x:f>A457&amp;"|"&amp;B457</x:f>
        <x:v>|</x:v>
      </x:c>
    </x:row>
    <x:row r="458">
      <x:c r="C458" s="34"/>
      <x:c r="G458" s="38"/>
      <x:c r="H458" s="38"/>
      <x:c r="I458" s="38" t="n">
        <x:f>IF(J458="Disetujui",G458*H458,0)</x:f>
        <x:v>0</x:v>
      </x:c>
      <x:c r="L458" t="str">
        <x:f>A458&amp;"|"&amp;B458</x:f>
        <x:v>|</x:v>
      </x:c>
    </x:row>
    <x:row r="459">
      <x:c r="C459" s="34"/>
      <x:c r="G459" s="38"/>
      <x:c r="H459" s="38"/>
      <x:c r="I459" s="38" t="n">
        <x:f>IF(J459="Disetujui",G459*H459,0)</x:f>
        <x:v>0</x:v>
      </x:c>
      <x:c r="L459" t="str">
        <x:f>A459&amp;"|"&amp;B459</x:f>
        <x:v>|</x:v>
      </x:c>
    </x:row>
    <x:row r="460">
      <x:c r="C460" s="34"/>
      <x:c r="G460" s="38"/>
      <x:c r="H460" s="38"/>
      <x:c r="I460" s="38" t="n">
        <x:f>IF(J460="Disetujui",G460*H460,0)</x:f>
        <x:v>0</x:v>
      </x:c>
      <x:c r="L460" t="str">
        <x:f>A460&amp;"|"&amp;B460</x:f>
        <x:v>|</x:v>
      </x:c>
    </x:row>
    <x:row r="461">
      <x:c r="C461" s="34"/>
      <x:c r="G461" s="38"/>
      <x:c r="H461" s="38"/>
      <x:c r="I461" s="38" t="n">
        <x:f>IF(J461="Disetujui",G461*H461,0)</x:f>
        <x:v>0</x:v>
      </x:c>
      <x:c r="L461" t="str">
        <x:f>A461&amp;"|"&amp;B461</x:f>
        <x:v>|</x:v>
      </x:c>
    </x:row>
    <x:row r="462">
      <x:c r="C462" s="34"/>
      <x:c r="G462" s="38"/>
      <x:c r="H462" s="38"/>
      <x:c r="I462" s="38" t="n">
        <x:f>IF(J462="Disetujui",G462*H462,0)</x:f>
        <x:v>0</x:v>
      </x:c>
      <x:c r="L462" t="str">
        <x:f>A462&amp;"|"&amp;B462</x:f>
        <x:v>|</x:v>
      </x:c>
    </x:row>
    <x:row r="463">
      <x:c r="C463" s="34"/>
      <x:c r="G463" s="38"/>
      <x:c r="H463" s="38"/>
      <x:c r="I463" s="38" t="n">
        <x:f>IF(J463="Disetujui",G463*H463,0)</x:f>
        <x:v>0</x:v>
      </x:c>
      <x:c r="L463" t="str">
        <x:f>A463&amp;"|"&amp;B463</x:f>
        <x:v>|</x:v>
      </x:c>
    </x:row>
    <x:row r="464">
      <x:c r="C464" s="34"/>
      <x:c r="G464" s="38"/>
      <x:c r="H464" s="38"/>
      <x:c r="I464" s="38" t="n">
        <x:f>IF(J464="Disetujui",G464*H464,0)</x:f>
        <x:v>0</x:v>
      </x:c>
      <x:c r="L464" t="str">
        <x:f>A464&amp;"|"&amp;B464</x:f>
        <x:v>|</x:v>
      </x:c>
    </x:row>
    <x:row r="465">
      <x:c r="C465" s="34"/>
      <x:c r="G465" s="38"/>
      <x:c r="H465" s="38"/>
      <x:c r="I465" s="38" t="n">
        <x:f>IF(J465="Disetujui",G465*H465,0)</x:f>
        <x:v>0</x:v>
      </x:c>
      <x:c r="L465" t="str">
        <x:f>A465&amp;"|"&amp;B465</x:f>
        <x:v>|</x:v>
      </x:c>
    </x:row>
    <x:row r="466">
      <x:c r="C466" s="34"/>
      <x:c r="G466" s="38"/>
      <x:c r="H466" s="38"/>
      <x:c r="I466" s="38" t="n">
        <x:f>IF(J466="Disetujui",G466*H466,0)</x:f>
        <x:v>0</x:v>
      </x:c>
      <x:c r="L466" t="str">
        <x:f>A466&amp;"|"&amp;B466</x:f>
        <x:v>|</x:v>
      </x:c>
    </x:row>
    <x:row r="467">
      <x:c r="C467" s="34"/>
      <x:c r="G467" s="38"/>
      <x:c r="H467" s="38"/>
      <x:c r="I467" s="38" t="n">
        <x:f>IF(J467="Disetujui",G467*H467,0)</x:f>
        <x:v>0</x:v>
      </x:c>
      <x:c r="L467" t="str">
        <x:f>A467&amp;"|"&amp;B467</x:f>
        <x:v>|</x:v>
      </x:c>
    </x:row>
    <x:row r="468">
      <x:c r="C468" s="34"/>
      <x:c r="G468" s="38"/>
      <x:c r="H468" s="38"/>
      <x:c r="I468" s="38" t="n">
        <x:f>IF(J468="Disetujui",G468*H468,0)</x:f>
        <x:v>0</x:v>
      </x:c>
      <x:c r="L468" t="str">
        <x:f>A468&amp;"|"&amp;B468</x:f>
        <x:v>|</x:v>
      </x:c>
    </x:row>
    <x:row r="469">
      <x:c r="C469" s="34"/>
      <x:c r="G469" s="38"/>
      <x:c r="H469" s="38"/>
      <x:c r="I469" s="38" t="n">
        <x:f>IF(J469="Disetujui",G469*H469,0)</x:f>
        <x:v>0</x:v>
      </x:c>
      <x:c r="L469" t="str">
        <x:f>A469&amp;"|"&amp;B469</x:f>
        <x:v>|</x:v>
      </x:c>
    </x:row>
    <x:row r="470">
      <x:c r="C470" s="34"/>
      <x:c r="G470" s="38"/>
      <x:c r="H470" s="38"/>
      <x:c r="I470" s="38" t="n">
        <x:f>IF(J470="Disetujui",G470*H470,0)</x:f>
        <x:v>0</x:v>
      </x:c>
      <x:c r="L470" t="str">
        <x:f>A470&amp;"|"&amp;B470</x:f>
        <x:v>|</x:v>
      </x:c>
    </x:row>
    <x:row r="471">
      <x:c r="C471" s="34"/>
      <x:c r="G471" s="38"/>
      <x:c r="H471" s="38"/>
      <x:c r="I471" s="38" t="n">
        <x:f>IF(J471="Disetujui",G471*H471,0)</x:f>
        <x:v>0</x:v>
      </x:c>
      <x:c r="L471" t="str">
        <x:f>A471&amp;"|"&amp;B471</x:f>
        <x:v>|</x:v>
      </x:c>
    </x:row>
    <x:row r="472">
      <x:c r="C472" s="34"/>
      <x:c r="G472" s="38"/>
      <x:c r="H472" s="38"/>
      <x:c r="I472" s="38" t="n">
        <x:f>IF(J472="Disetujui",G472*H472,0)</x:f>
        <x:v>0</x:v>
      </x:c>
      <x:c r="L472" t="str">
        <x:f>A472&amp;"|"&amp;B472</x:f>
        <x:v>|</x:v>
      </x:c>
    </x:row>
    <x:row r="473">
      <x:c r="C473" s="34"/>
      <x:c r="G473" s="38"/>
      <x:c r="H473" s="38"/>
      <x:c r="I473" s="38" t="n">
        <x:f>IF(J473="Disetujui",G473*H473,0)</x:f>
        <x:v>0</x:v>
      </x:c>
      <x:c r="L473" t="str">
        <x:f>A473&amp;"|"&amp;B473</x:f>
        <x:v>|</x:v>
      </x:c>
    </x:row>
    <x:row r="474">
      <x:c r="C474" s="34"/>
      <x:c r="G474" s="38"/>
      <x:c r="H474" s="38"/>
      <x:c r="I474" s="38" t="n">
        <x:f>IF(J474="Disetujui",G474*H474,0)</x:f>
        <x:v>0</x:v>
      </x:c>
      <x:c r="L474" t="str">
        <x:f>A474&amp;"|"&amp;B474</x:f>
        <x:v>|</x:v>
      </x:c>
    </x:row>
    <x:row r="475">
      <x:c r="C475" s="34"/>
      <x:c r="G475" s="38"/>
      <x:c r="H475" s="38"/>
      <x:c r="I475" s="38" t="n">
        <x:f>IF(J475="Disetujui",G475*H475,0)</x:f>
        <x:v>0</x:v>
      </x:c>
      <x:c r="L475" t="str">
        <x:f>A475&amp;"|"&amp;B475</x:f>
        <x:v>|</x:v>
      </x:c>
    </x:row>
    <x:row r="476">
      <x:c r="C476" s="34"/>
      <x:c r="G476" s="38"/>
      <x:c r="H476" s="38"/>
      <x:c r="I476" s="38" t="n">
        <x:f>IF(J476="Disetujui",G476*H476,0)</x:f>
        <x:v>0</x:v>
      </x:c>
      <x:c r="L476" t="str">
        <x:f>A476&amp;"|"&amp;B476</x:f>
        <x:v>|</x:v>
      </x:c>
    </x:row>
    <x:row r="477">
      <x:c r="C477" s="34"/>
      <x:c r="G477" s="38"/>
      <x:c r="H477" s="38"/>
      <x:c r="I477" s="38" t="n">
        <x:f>IF(J477="Disetujui",G477*H477,0)</x:f>
        <x:v>0</x:v>
      </x:c>
      <x:c r="L477" t="str">
        <x:f>A477&amp;"|"&amp;B477</x:f>
        <x:v>|</x:v>
      </x:c>
    </x:row>
    <x:row r="478">
      <x:c r="C478" s="34"/>
      <x:c r="G478" s="38"/>
      <x:c r="H478" s="38"/>
      <x:c r="I478" s="38" t="n">
        <x:f>IF(J478="Disetujui",G478*H478,0)</x:f>
        <x:v>0</x:v>
      </x:c>
      <x:c r="L478" t="str">
        <x:f>A478&amp;"|"&amp;B478</x:f>
        <x:v>|</x:v>
      </x:c>
    </x:row>
    <x:row r="479">
      <x:c r="C479" s="34"/>
      <x:c r="G479" s="38"/>
      <x:c r="H479" s="38"/>
      <x:c r="I479" s="38" t="n">
        <x:f>IF(J479="Disetujui",G479*H479,0)</x:f>
        <x:v>0</x:v>
      </x:c>
      <x:c r="L479" t="str">
        <x:f>A479&amp;"|"&amp;B479</x:f>
        <x:v>|</x:v>
      </x:c>
    </x:row>
    <x:row r="480">
      <x:c r="C480" s="34"/>
      <x:c r="G480" s="38"/>
      <x:c r="H480" s="38"/>
      <x:c r="I480" s="38" t="n">
        <x:f>IF(J480="Disetujui",G480*H480,0)</x:f>
        <x:v>0</x:v>
      </x:c>
      <x:c r="L480" t="str">
        <x:f>A480&amp;"|"&amp;B480</x:f>
        <x:v>|</x:v>
      </x:c>
    </x:row>
    <x:row r="481">
      <x:c r="C481" s="34"/>
      <x:c r="G481" s="38"/>
      <x:c r="H481" s="38"/>
      <x:c r="I481" s="38" t="n">
        <x:f>IF(J481="Disetujui",G481*H481,0)</x:f>
        <x:v>0</x:v>
      </x:c>
      <x:c r="L481" t="str">
        <x:f>A481&amp;"|"&amp;B481</x:f>
        <x:v>|</x:v>
      </x:c>
    </x:row>
    <x:row r="482">
      <x:c r="C482" s="34"/>
      <x:c r="G482" s="38"/>
      <x:c r="H482" s="38"/>
      <x:c r="I482" s="38" t="n">
        <x:f>IF(J482="Disetujui",G482*H482,0)</x:f>
        <x:v>0</x:v>
      </x:c>
      <x:c r="L482" t="str">
        <x:f>A482&amp;"|"&amp;B482</x:f>
        <x:v>|</x:v>
      </x:c>
    </x:row>
    <x:row r="483">
      <x:c r="C483" s="34"/>
      <x:c r="G483" s="38"/>
      <x:c r="H483" s="38"/>
      <x:c r="I483" s="38" t="n">
        <x:f>IF(J483="Disetujui",G483*H483,0)</x:f>
        <x:v>0</x:v>
      </x:c>
      <x:c r="L483" t="str">
        <x:f>A483&amp;"|"&amp;B483</x:f>
        <x:v>|</x:v>
      </x:c>
    </x:row>
    <x:row r="484">
      <x:c r="C484" s="34"/>
      <x:c r="G484" s="38"/>
      <x:c r="H484" s="38"/>
      <x:c r="I484" s="38" t="n">
        <x:f>IF(J484="Disetujui",G484*H484,0)</x:f>
        <x:v>0</x:v>
      </x:c>
      <x:c r="L484" t="str">
        <x:f>A484&amp;"|"&amp;B484</x:f>
        <x:v>|</x:v>
      </x:c>
    </x:row>
    <x:row r="485">
      <x:c r="C485" s="34"/>
      <x:c r="G485" s="38"/>
      <x:c r="H485" s="38"/>
      <x:c r="I485" s="38" t="n">
        <x:f>IF(J485="Disetujui",G485*H485,0)</x:f>
        <x:v>0</x:v>
      </x:c>
      <x:c r="L485" t="str">
        <x:f>A485&amp;"|"&amp;B485</x:f>
        <x:v>|</x:v>
      </x:c>
    </x:row>
    <x:row r="486">
      <x:c r="C486" s="34"/>
      <x:c r="G486" s="38"/>
      <x:c r="H486" s="38"/>
      <x:c r="I486" s="38" t="n">
        <x:f>IF(J486="Disetujui",G486*H486,0)</x:f>
        <x:v>0</x:v>
      </x:c>
      <x:c r="L486" t="str">
        <x:f>A486&amp;"|"&amp;B486</x:f>
        <x:v>|</x:v>
      </x:c>
    </x:row>
    <x:row r="487">
      <x:c r="C487" s="34"/>
      <x:c r="G487" s="38"/>
      <x:c r="H487" s="38"/>
      <x:c r="I487" s="38" t="n">
        <x:f>IF(J487="Disetujui",G487*H487,0)</x:f>
        <x:v>0</x:v>
      </x:c>
      <x:c r="L487" t="str">
        <x:f>A487&amp;"|"&amp;B487</x:f>
        <x:v>|</x:v>
      </x:c>
    </x:row>
    <x:row r="488">
      <x:c r="C488" s="34"/>
      <x:c r="G488" s="38"/>
      <x:c r="H488" s="38"/>
      <x:c r="I488" s="38" t="n">
        <x:f>IF(J488="Disetujui",G488*H488,0)</x:f>
        <x:v>0</x:v>
      </x:c>
      <x:c r="L488" t="str">
        <x:f>A488&amp;"|"&amp;B488</x:f>
        <x:v>|</x:v>
      </x:c>
    </x:row>
    <x:row r="489">
      <x:c r="C489" s="34"/>
      <x:c r="G489" s="38"/>
      <x:c r="H489" s="38"/>
      <x:c r="I489" s="38" t="n">
        <x:f>IF(J489="Disetujui",G489*H489,0)</x:f>
        <x:v>0</x:v>
      </x:c>
      <x:c r="L489" t="str">
        <x:f>A489&amp;"|"&amp;B489</x:f>
        <x:v>|</x:v>
      </x:c>
    </x:row>
    <x:row r="490">
      <x:c r="C490" s="34"/>
      <x:c r="G490" s="38"/>
      <x:c r="H490" s="38"/>
      <x:c r="I490" s="38" t="n">
        <x:f>IF(J490="Disetujui",G490*H490,0)</x:f>
        <x:v>0</x:v>
      </x:c>
      <x:c r="L490" t="str">
        <x:f>A490&amp;"|"&amp;B490</x:f>
        <x:v>|</x:v>
      </x:c>
    </x:row>
    <x:row r="491">
      <x:c r="C491" s="34"/>
      <x:c r="G491" s="38"/>
      <x:c r="H491" s="38"/>
      <x:c r="I491" s="38" t="n">
        <x:f>IF(J491="Disetujui",G491*H491,0)</x:f>
        <x:v>0</x:v>
      </x:c>
      <x:c r="L491" t="str">
        <x:f>A491&amp;"|"&amp;B491</x:f>
        <x:v>|</x:v>
      </x:c>
    </x:row>
    <x:row r="492">
      <x:c r="C492" s="34"/>
      <x:c r="G492" s="38"/>
      <x:c r="H492" s="38"/>
      <x:c r="I492" s="38" t="n">
        <x:f>IF(J492="Disetujui",G492*H492,0)</x:f>
        <x:v>0</x:v>
      </x:c>
      <x:c r="L492" t="str">
        <x:f>A492&amp;"|"&amp;B492</x:f>
        <x:v>|</x:v>
      </x:c>
    </x:row>
    <x:row r="493">
      <x:c r="C493" s="34"/>
      <x:c r="G493" s="38"/>
      <x:c r="H493" s="38"/>
      <x:c r="I493" s="38" t="n">
        <x:f>IF(J493="Disetujui",G493*H493,0)</x:f>
        <x:v>0</x:v>
      </x:c>
      <x:c r="L493" t="str">
        <x:f>A493&amp;"|"&amp;B493</x:f>
        <x:v>|</x:v>
      </x:c>
    </x:row>
    <x:row r="494">
      <x:c r="C494" s="34"/>
      <x:c r="G494" s="38"/>
      <x:c r="H494" s="38"/>
      <x:c r="I494" s="38" t="n">
        <x:f>IF(J494="Disetujui",G494*H494,0)</x:f>
        <x:v>0</x:v>
      </x:c>
      <x:c r="L494" t="str">
        <x:f>A494&amp;"|"&amp;B494</x:f>
        <x:v>|</x:v>
      </x:c>
    </x:row>
    <x:row r="495">
      <x:c r="C495" s="34"/>
      <x:c r="G495" s="38"/>
      <x:c r="H495" s="38"/>
      <x:c r="I495" s="38" t="n">
        <x:f>IF(J495="Disetujui",G495*H495,0)</x:f>
        <x:v>0</x:v>
      </x:c>
      <x:c r="L495" t="str">
        <x:f>A495&amp;"|"&amp;B495</x:f>
        <x:v>|</x:v>
      </x:c>
    </x:row>
    <x:row r="496">
      <x:c r="C496" s="34"/>
      <x:c r="G496" s="38"/>
      <x:c r="H496" s="38"/>
      <x:c r="I496" s="38" t="n">
        <x:f>IF(J496="Disetujui",G496*H496,0)</x:f>
        <x:v>0</x:v>
      </x:c>
      <x:c r="L496" t="str">
        <x:f>A496&amp;"|"&amp;B496</x:f>
        <x:v>|</x:v>
      </x:c>
    </x:row>
    <x:row r="497">
      <x:c r="C497" s="34"/>
      <x:c r="G497" s="38"/>
      <x:c r="H497" s="38"/>
      <x:c r="I497" s="38" t="n">
        <x:f>IF(J497="Disetujui",G497*H497,0)</x:f>
        <x:v>0</x:v>
      </x:c>
      <x:c r="L497" t="str">
        <x:f>A497&amp;"|"&amp;B497</x:f>
        <x:v>|</x:v>
      </x:c>
    </x:row>
    <x:row r="498">
      <x:c r="C498" s="34"/>
      <x:c r="G498" s="38"/>
      <x:c r="H498" s="38"/>
      <x:c r="I498" s="38" t="n">
        <x:f>IF(J498="Disetujui",G498*H498,0)</x:f>
        <x:v>0</x:v>
      </x:c>
      <x:c r="L498" t="str">
        <x:f>A498&amp;"|"&amp;B498</x:f>
        <x:v>|</x:v>
      </x:c>
    </x:row>
    <x:row r="499">
      <x:c r="C499" s="34"/>
      <x:c r="G499" s="38"/>
      <x:c r="H499" s="38"/>
      <x:c r="I499" s="38" t="n">
        <x:f>IF(J499="Disetujui",G499*H499,0)</x:f>
        <x:v>0</x:v>
      </x:c>
      <x:c r="L499" t="str">
        <x:f>A499&amp;"|"&amp;B499</x:f>
        <x:v>|</x:v>
      </x:c>
    </x:row>
    <x:row r="500">
      <x:c r="C500" s="34"/>
      <x:c r="G500" s="38"/>
      <x:c r="H500" s="38"/>
      <x:c r="I500" s="38" t="n">
        <x:f>IF(J500="Disetujui",G500*H500,0)</x:f>
        <x:v>0</x:v>
      </x:c>
      <x:c r="L500" t="str">
        <x:f>A500&amp;"|"&amp;B500</x:f>
        <x:v>|</x:v>
      </x:c>
    </x:row>
    <x:row r="501">
      <x:c r="C501" s="34"/>
      <x:c r="G501" s="38"/>
      <x:c r="H501" s="38"/>
      <x:c r="I501" s="38" t="n">
        <x:f>IF(J501="Disetujui",G501*H501,0)</x:f>
        <x:v>0</x:v>
      </x:c>
      <x:c r="L501" t="str">
        <x:f>A501&amp;"|"&amp;B501</x:f>
        <x:v>|</x:v>
      </x:c>
    </x:row>
  </x:sheetData>
  <x:dataValidations count="2">
    <x:dataValidation type="list" sqref="D2:D501">
      <x:formula1>List!$D$2:$D$4</x:formula1>
    </x:dataValidation>
    <x:dataValidation type="list" sqref="J2:J501">
      <x:formula1>List!$F$2:$F$4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6ee3ce3b148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8" hidden="0" customWidth="1"/>
    <x:col min="18" max="18" width="18" hidden="0" customWidth="1"/>
    <x:col min="19" max="19" width="16" hidden="0" customWidth="1"/>
    <x:col min="20" max="20" width="18" hidden="0" customWidth="1"/>
    <x:col min="21" max="21" width="16" hidden="0" customWidth="1"/>
    <x:col min="22" max="22" width="16" hidden="0" customWidth="1"/>
    <x:col min="23" max="23" width="16" hidden="0" customWidth="1"/>
    <x:col min="24" max="24" width="18" hidden="0" customWidth="1"/>
    <x:col min="25" max="25" width="18" hidden="0" customWidth="1"/>
    <x:col min="26" max="26" width="16" hidden="0" customWidth="1"/>
    <x:col min="27" max="27" width="18" hidden="0" customWidth="1"/>
    <x:col min="28" max="28" width="18" hidden="0" customWidth="1"/>
    <x:col min="29" max="29" width="16" hidden="0" customWidth="1"/>
    <x:col min="30" max="30" width="18" hidden="0" customWidth="1"/>
    <x:col min="31" max="31" width="22" hidden="0" customWidth="1"/>
    <x:col min="32" max="32" width="36" hidden="0" customWidth="1"/>
  </x:cols>
  <x:sheetData>
    <x:row r="1">
      <x:c r="A1" s="40" t="str">
        <x:v>Bulan</x:v>
      </x:c>
      <x:c r="B1" s="40" t="str">
        <x:v>Nama</x:v>
      </x:c>
      <x:c r="C1" s="40" t="str">
        <x:v>KODESLIP</x:v>
      </x:c>
      <x:c r="D1" s="40" t="str">
        <x:v>NRK</x:v>
      </x:c>
      <x:c r="E1" s="40" t="str">
        <x:v>Unit</x:v>
      </x:c>
      <x:c r="F1" s="40" t="str">
        <x:v>Masa Kerja</x:v>
      </x:c>
      <x:c r="G1" s="40" t="str">
        <x:v>Grade Khusus</x:v>
      </x:c>
      <x:c r="H1" s="40" t="str">
        <x:v>Jabatan</x:v>
      </x:c>
      <x:c r="I1" s="40" t="str">
        <x:v>Kode Jabatan</x:v>
      </x:c>
      <x:c r="J1" s="40" t="str">
        <x:v>Jml Hari Kerja</x:v>
      </x:c>
      <x:c r="K1" s="40" t="str">
        <x:v>On time</x:v>
      </x:c>
      <x:c r="L1" s="40" t="str">
        <x:v>Telat</x:v>
      </x:c>
      <x:c r="M1" s="40" t="str">
        <x:v>Sakit</x:v>
      </x:c>
      <x:c r="N1" s="40" t="str">
        <x:v>Izin</x:v>
      </x:c>
      <x:c r="O1" s="40" t="str">
        <x:v>Tanpa Ket.</x:v>
      </x:c>
      <x:c r="P1" s="40" t="str">
        <x:v>Gaji Pokok</x:v>
      </x:c>
      <x:c r="Q1" s="40" t="str">
        <x:v>Tunj. Fungsional</x:v>
      </x:c>
      <x:c r="R1" s="40" t="str">
        <x:v>Tunj. Kehadiran</x:v>
      </x:c>
      <x:c r="S1" s="40" t="str">
        <x:v>Tunj. Rumah</x:v>
      </x:c>
      <x:c r="T1" s="40" t="str">
        <x:v>Tunj. Masa Kerja</x:v>
      </x:c>
      <x:c r="U1" s="40" t="str">
        <x:v>Tunj. Lembur</x:v>
      </x:c>
      <x:c r="V1" s="40" t="str">
        <x:v>Tunj. Makan</x:v>
      </x:c>
      <x:c r="W1" s="40" t="str">
        <x:v>Tunj. Khusus</x:v>
      </x:c>
      <x:c r="X1" s="40" t="str">
        <x:v>Gaji Sblm Potongan</x:v>
      </x:c>
      <x:c r="Y1" s="40" t="str">
        <x:v>Potongan Absen</x:v>
      </x:c>
      <x:c r="Z1" s="40" t="str">
        <x:v>Potongan Telat</x:v>
      </x:c>
      <x:c r="AA1" s="40" t="str">
        <x:v>Potongan Pinjaman</x:v>
      </x:c>
      <x:c r="AB1" s="40" t="str">
        <x:v>Total Potongan</x:v>
      </x:c>
      <x:c r="AC1" s="40" t="str">
        <x:v>Koreksi Gaji</x:v>
      </x:c>
      <x:c r="AD1" s="40" t="str">
        <x:v>Gaji Bersih</x:v>
      </x:c>
      <x:c r="AE1" s="40" t="str">
        <x:v>No.Rek Bank</x:v>
      </x:c>
      <x:c r="AF1" s="40" t="str">
        <x:v>Catatan Validasi</x:v>
      </x:c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2026-06</x:v>
      </x:c>
      <x:c r="B2" s="41" t="str">
        <x:v>TU-001</x:v>
      </x:c>
      <x:c r="C2" s="41" t="str">
        <x:f>B2</x:f>
        <x:v>TU-001</x:v>
      </x:c>
      <x:c r="D2" s="41" t="str">
        <x:f>IFERROR(VLOOKUP(B2,Karyawan!$A:$L,2,FALSE),"")</x:f>
        <x:v>TU-001</x:v>
      </x:c>
      <x:c r="E2" s="41" t="str">
        <x:f>IFERROR(VLOOKUP(B2,Karyawan!$A:$L,3,FALSE),"")</x:f>
        <x:v>Sekolah</x:v>
      </x:c>
      <x:c r="F2" s="41" t="n">
        <x:f>IFERROR(VLOOKUP(B2,Karyawan!$A:$L,8,FALSE),0)</x:f>
        <x:v>0</x:v>
      </x:c>
      <x:c r="G2" s="41" t="str">
        <x:f>IFERROR(VLOOKUP(B2,Karyawan!$A:$L,6,FALSE),"")</x:f>
        <x:v>1A</x:v>
      </x:c>
      <x:c r="H2" s="41" t="str">
        <x:f>IFERROR(VLOOKUP(B2,Karyawan!$A:$L,4,FALSE),"")</x:f>
        <x:v>Staff TU/Admin</x:v>
      </x:c>
      <x:c r="I2" s="41" t="str">
        <x:f>IFERROR(VLOOKUP(B2,Karyawan!$A:$L,5,FALSE),"")</x:f>
        <x:v>TU</x:v>
      </x:c>
      <x:c r="J2" s="41" t="n">
        <x:f>24</x:f>
        <x:v>24</x:v>
      </x:c>
      <x:c r="K2" s="41" t="n">
        <x:f>24</x:f>
        <x:v>24</x:v>
      </x:c>
      <x:c r="L2" s="41" t="n">
        <x:f>0</x:f>
        <x:v>0</x:v>
      </x:c>
      <x:c r="M2" s="41" t="n">
        <x:f>0</x:f>
        <x:v>0</x:v>
      </x:c>
      <x:c r="N2" s="41" t="n">
        <x:f>0</x:f>
        <x:v>0</x:v>
      </x:c>
      <x:c r="O2" s="41" t="n">
        <x:f>0</x:f>
        <x:v>0</x:v>
      </x:c>
      <x:c r="P2" s="48" t="n">
        <x:f>IFERROR(VLOOKUP(G2,Golongan!$B:$E,2,FALSE),0)</x:f>
        <x:v>1800000</x:v>
      </x:c>
      <x:c r="Q2" s="48" t="n">
        <x:f>IFERROR(VLOOKUP(I2,Jabatan!$B:$E,3,FALSE),0)</x:f>
        <x:v>400000</x:v>
      </x:c>
      <x:c r="R2" s="48" t="n">
        <x:f>IF(J2&gt;0,IF(K2&gt;=J2,IFERROR(VLOOKUP(G2,Golongan!$B:$E,4,FALSE),0),K2*IFERROR(VLOOKUP(G2,Golongan!$B:$E,3,FALSE),0)),0)</x:f>
        <x:v>240000</x:v>
      </x:c>
      <x:c r="S2" s="48" t="n">
        <x:f>IFERROR(VLOOKUP(I2,Jabatan!$B:$E,4,FALSE),0)</x:f>
        <x:v>0</x:v>
      </x:c>
      <x:c r="T2" s="48" t="n">
        <x:f>F2*IFERROR(VLOOKUP("Tunjangan Masa Kerja / Tahun",Komponen!$A:$E,5,FALSE),0)</x:f>
        <x:v>0</x:v>
      </x:c>
      <x:c r="U2" s="48" t="n">
        <x:f>SUMIF(Lembur!$L$2:$L$501,A2&amp;"|"&amp;B2,Lembur!$I$2:$I$501)</x:f>
        <x:v>100000</x:v>
      </x:c>
      <x:c r="V2" s="48" t="n">
        <x:f>K2*IFERROR(VLOOKUP("Uang Makan / Hari",Komponen!$A:$E,5,FALSE),0)</x:f>
        <x:v>0</x:v>
      </x:c>
      <x:c r="W2" s="48" t="n">
        <x:f>0</x:f>
        <x:v>0</x:v>
      </x:c>
      <x:c r="X2" s="48" t="n">
        <x:f>SUM(P2:W2)</x:f>
        <x:v>2540000</x:v>
      </x:c>
      <x:c r="Y2" s="48" t="n">
        <x:f>O2*IFERROR(VLOOKUP("Potongan Alpha",Komponen!$A:$E,5,FALSE),0)</x:f>
        <x:v>0</x:v>
      </x:c>
      <x:c r="Z2" s="48" t="n">
        <x:f>L2*IFERROR(VLOOKUP("Potongan Telat",Komponen!$A:$E,5,FALSE),0)</x:f>
        <x:v>0</x:v>
      </x:c>
      <x:c r="AA2" s="48" t="n">
        <x:f>0</x:f>
        <x:v>0</x:v>
      </x:c>
      <x:c r="AB2" s="48" t="n">
        <x:f>SUM(Y2:AA2)</x:f>
        <x:v>0</x:v>
      </x:c>
      <x:c r="AC2" s="48" t="n">
        <x:f>0</x:f>
        <x:v>0</x:v>
      </x:c>
      <x:c r="AD2" s="48" t="n">
        <x:f>X2-AB2+AC2</x:f>
        <x:v>2540000</x:v>
      </x:c>
      <x:c r="AE2" s="41" t="n">
        <x:f>IFERROR(VLOOKUP(B2,Karyawan!$A:$L,10,FALSE),"")</x:f>
        <x:v>1234567890</x:v>
      </x:c>
      <x:c r="AF2" s="41" t="str">
        <x:f>IF(AD2&lt;=0,"Cek gaji bersih",IF(P2&lt;=0,"Cek gaji pokok",IF(H2="","Cek jabatan",IF(G2="","Cek golongan","OK"))))</x:f>
        <x:v>OK</x:v>
      </x:c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2026-06</x:v>
      </x:c>
      <x:c r="B3" s="41" t="str">
        <x:v>G-001</x:v>
      </x:c>
      <x:c r="C3" s="41" t="str">
        <x:f>B3</x:f>
        <x:v>G-001</x:v>
      </x:c>
      <x:c r="D3" s="41" t="str">
        <x:f>IFERROR(VLOOKUP(B3,Karyawan!$A:$L,2,FALSE),"")</x:f>
        <x:v>G-001</x:v>
      </x:c>
      <x:c r="E3" s="41" t="str">
        <x:f>IFERROR(VLOOKUP(B3,Karyawan!$A:$L,3,FALSE),"")</x:f>
        <x:v>Sekolah</x:v>
      </x:c>
      <x:c r="F3" s="41" t="n">
        <x:f>IFERROR(VLOOKUP(B3,Karyawan!$A:$L,8,FALSE),0)</x:f>
        <x:v>0</x:v>
      </x:c>
      <x:c r="G3" s="41" t="str">
        <x:f>IFERROR(VLOOKUP(B3,Karyawan!$A:$L,6,FALSE),"")</x:f>
        <x:v>1B</x:v>
      </x:c>
      <x:c r="H3" s="41" t="str">
        <x:f>IFERROR(VLOOKUP(B3,Karyawan!$A:$L,4,FALSE),"")</x:f>
        <x:v>Guru Kelas</x:v>
      </x:c>
      <x:c r="I3" s="41" t="str">
        <x:f>IFERROR(VLOOKUP(B3,Karyawan!$A:$L,5,FALSE),"")</x:f>
        <x:v>GURU</x:v>
      </x:c>
      <x:c r="J3" s="41" t="n">
        <x:f>24</x:f>
        <x:v>24</x:v>
      </x:c>
      <x:c r="K3" s="41" t="n">
        <x:f>24</x:f>
        <x:v>24</x:v>
      </x:c>
      <x:c r="L3" s="41" t="n">
        <x:f>0</x:f>
        <x:v>0</x:v>
      </x:c>
      <x:c r="M3" s="41" t="n">
        <x:f>0</x:f>
        <x:v>0</x:v>
      </x:c>
      <x:c r="N3" s="41" t="n">
        <x:f>0</x:f>
        <x:v>0</x:v>
      </x:c>
      <x:c r="O3" s="41" t="n">
        <x:f>0</x:f>
        <x:v>0</x:v>
      </x:c>
      <x:c r="P3" s="48" t="n">
        <x:f>IFERROR(VLOOKUP(G3,Golongan!$B:$E,2,FALSE),0)</x:f>
        <x:v>2000000</x:v>
      </x:c>
      <x:c r="Q3" s="48" t="n">
        <x:f>IFERROR(VLOOKUP(I3,Jabatan!$B:$E,3,FALSE),0)</x:f>
        <x:v>900000</x:v>
      </x:c>
      <x:c r="R3" s="48" t="n">
        <x:f>IF(J3&gt;0,IF(K3&gt;=J3,IFERROR(VLOOKUP(G3,Golongan!$B:$E,4,FALSE),0),K3*IFERROR(VLOOKUP(G3,Golongan!$B:$E,3,FALSE),0)),0)</x:f>
        <x:v>288000</x:v>
      </x:c>
      <x:c r="S3" s="48" t="n">
        <x:f>IFERROR(VLOOKUP(I3,Jabatan!$B:$E,4,FALSE),0)</x:f>
        <x:v>0</x:v>
      </x:c>
      <x:c r="T3" s="48" t="n">
        <x:f>F3*IFERROR(VLOOKUP("Tunjangan Masa Kerja / Tahun",Komponen!$A:$E,5,FALSE),0)</x:f>
        <x:v>0</x:v>
      </x:c>
      <x:c r="U3" s="48" t="n">
        <x:f>SUMIF(Lembur!$L$2:$L$501,A3&amp;"|"&amp;B3,Lembur!$I$2:$I$501)</x:f>
        <x:v>0</x:v>
      </x:c>
      <x:c r="V3" s="48" t="n">
        <x:f>K3*IFERROR(VLOOKUP("Uang Makan / Hari",Komponen!$A:$E,5,FALSE),0)</x:f>
        <x:v>0</x:v>
      </x:c>
      <x:c r="W3" s="48" t="n">
        <x:f>0</x:f>
        <x:v>0</x:v>
      </x:c>
      <x:c r="X3" s="48" t="n">
        <x:f>SUM(P3:W3)</x:f>
        <x:v>3188000</x:v>
      </x:c>
      <x:c r="Y3" s="48" t="n">
        <x:f>O3*IFERROR(VLOOKUP("Potongan Alpha",Komponen!$A:$E,5,FALSE),0)</x:f>
        <x:v>0</x:v>
      </x:c>
      <x:c r="Z3" s="48" t="n">
        <x:f>L3*IFERROR(VLOOKUP("Potongan Telat",Komponen!$A:$E,5,FALSE),0)</x:f>
        <x:v>0</x:v>
      </x:c>
      <x:c r="AA3" s="48" t="n">
        <x:f>0</x:f>
        <x:v>0</x:v>
      </x:c>
      <x:c r="AB3" s="48" t="n">
        <x:f>SUM(Y3:AA3)</x:f>
        <x:v>0</x:v>
      </x:c>
      <x:c r="AC3" s="48" t="n">
        <x:f>0</x:f>
        <x:v>0</x:v>
      </x:c>
      <x:c r="AD3" s="48" t="n">
        <x:f>X3-AB3+AC3</x:f>
        <x:v>3188000</x:v>
      </x:c>
      <x:c r="AE3" s="41" t="n">
        <x:f>IFERROR(VLOOKUP(B3,Karyawan!$A:$L,10,FALSE),"")</x:f>
        <x:v>2234567890</x:v>
      </x:c>
      <x:c r="AF3" s="41" t="str">
        <x:f>IF(AD3&lt;=0,"Cek gaji bersih",IF(P3&lt;=0,"Cek gaji pokok",IF(H3="","Cek jabatan",IF(G3="","Cek golongan","OK"))))</x:f>
        <x:v>OK</x:v>
      </x:c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2026-06</x:v>
      </x:c>
      <x:c r="B4" s="41" t="str">
        <x:v>PK-001</x:v>
      </x:c>
      <x:c r="C4" s="41" t="str">
        <x:f>B4</x:f>
        <x:v>PK-001</x:v>
      </x:c>
      <x:c r="D4" s="41" t="str">
        <x:f>IFERROR(VLOOKUP(B4,Karyawan!$A:$L,2,FALSE),"")</x:f>
        <x:v>PK-001</x:v>
      </x:c>
      <x:c r="E4" s="41" t="str">
        <x:f>IFERROR(VLOOKUP(B4,Karyawan!$A:$L,3,FALSE),"")</x:f>
        <x:v>Sekolah</x:v>
      </x:c>
      <x:c r="F4" s="41" t="n">
        <x:f>IFERROR(VLOOKUP(B4,Karyawan!$A:$L,8,FALSE),0)</x:f>
        <x:v>0</x:v>
      </x:c>
      <x:c r="G4" s="41" t="str">
        <x:f>IFERROR(VLOOKUP(B4,Karyawan!$A:$L,6,FALSE),"")</x:f>
        <x:v>1A</x:v>
      </x:c>
      <x:c r="H4" s="41" t="str">
        <x:f>IFERROR(VLOOKUP(B4,Karyawan!$A:$L,4,FALSE),"")</x:f>
        <x:v>Petugas Kebersihan</x:v>
      </x:c>
      <x:c r="I4" s="41" t="str">
        <x:f>IFERROR(VLOOKUP(B4,Karyawan!$A:$L,5,FALSE),"")</x:f>
        <x:v>PK</x:v>
      </x:c>
      <x:c r="J4" s="41" t="n">
        <x:f>24</x:f>
        <x:v>24</x:v>
      </x:c>
      <x:c r="K4" s="41" t="n">
        <x:f>24</x:f>
        <x:v>24</x:v>
      </x:c>
      <x:c r="L4" s="41" t="n">
        <x:f>0</x:f>
        <x:v>0</x:v>
      </x:c>
      <x:c r="M4" s="41" t="n">
        <x:f>0</x:f>
        <x:v>0</x:v>
      </x:c>
      <x:c r="N4" s="41" t="n">
        <x:f>0</x:f>
        <x:v>0</x:v>
      </x:c>
      <x:c r="O4" s="41" t="n">
        <x:f>0</x:f>
        <x:v>0</x:v>
      </x:c>
      <x:c r="P4" s="48" t="n">
        <x:f>IFERROR(VLOOKUP(G4,Golongan!$B:$E,2,FALSE),0)</x:f>
        <x:v>1800000</x:v>
      </x:c>
      <x:c r="Q4" s="48" t="n">
        <x:f>IFERROR(VLOOKUP(I4,Jabatan!$B:$E,3,FALSE),0)</x:f>
        <x:v>300000</x:v>
      </x:c>
      <x:c r="R4" s="48" t="n">
        <x:f>IF(J4&gt;0,IF(K4&gt;=J4,IFERROR(VLOOKUP(G4,Golongan!$B:$E,4,FALSE),0),K4*IFERROR(VLOOKUP(G4,Golongan!$B:$E,3,FALSE),0)),0)</x:f>
        <x:v>240000</x:v>
      </x:c>
      <x:c r="S4" s="48" t="n">
        <x:f>IFERROR(VLOOKUP(I4,Jabatan!$B:$E,4,FALSE),0)</x:f>
        <x:v>0</x:v>
      </x:c>
      <x:c r="T4" s="48" t="n">
        <x:f>F4*IFERROR(VLOOKUP("Tunjangan Masa Kerja / Tahun",Komponen!$A:$E,5,FALSE),0)</x:f>
        <x:v>0</x:v>
      </x:c>
      <x:c r="U4" s="48" t="n">
        <x:f>SUMIF(Lembur!$L$2:$L$501,A4&amp;"|"&amp;B4,Lembur!$I$2:$I$501)</x:f>
        <x:v>0</x:v>
      </x:c>
      <x:c r="V4" s="48" t="n">
        <x:f>K4*IFERROR(VLOOKUP("Uang Makan / Hari",Komponen!$A:$E,5,FALSE),0)</x:f>
        <x:v>0</x:v>
      </x:c>
      <x:c r="W4" s="48" t="n">
        <x:f>0</x:f>
        <x:v>0</x:v>
      </x:c>
      <x:c r="X4" s="48" t="n">
        <x:f>SUM(P4:W4)</x:f>
        <x:v>2340000</x:v>
      </x:c>
      <x:c r="Y4" s="48" t="n">
        <x:f>O4*IFERROR(VLOOKUP("Potongan Alpha",Komponen!$A:$E,5,FALSE),0)</x:f>
        <x:v>0</x:v>
      </x:c>
      <x:c r="Z4" s="48" t="n">
        <x:f>L4*IFERROR(VLOOKUP("Potongan Telat",Komponen!$A:$E,5,FALSE),0)</x:f>
        <x:v>0</x:v>
      </x:c>
      <x:c r="AA4" s="48" t="n">
        <x:f>0</x:f>
        <x:v>0</x:v>
      </x:c>
      <x:c r="AB4" s="48" t="n">
        <x:f>SUM(Y4:AA4)</x:f>
        <x:v>0</x:v>
      </x:c>
      <x:c r="AC4" s="48" t="n">
        <x:f>0</x:f>
        <x:v>0</x:v>
      </x:c>
      <x:c r="AD4" s="48" t="n">
        <x:f>X4-AB4+AC4</x:f>
        <x:v>2340000</x:v>
      </x:c>
      <x:c r="AE4" s="41" t="n">
        <x:f>IFERROR(VLOOKUP(B4,Karyawan!$A:$L,10,FALSE),"")</x:f>
        <x:v>3234567890</x:v>
      </x:c>
      <x:c r="AF4" s="41" t="str">
        <x:f>IF(AD4&lt;=0,"Cek gaji bersih",IF(P4&lt;=0,"Cek gaji pokok",IF(H4="","Cek jabatan",IF(G4="","Cek golongan","OK"))))</x:f>
        <x:v>OK</x:v>
      </x:c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/>
      <x:c r="B5" s="41"/>
      <x:c r="C5" s="41" t="n">
        <x:f>B5</x:f>
        <x:v>0</x:v>
      </x:c>
      <x:c r="D5" s="41" t="str">
        <x:f>IFERROR(VLOOKUP(B5,Karyawan!$A:$L,2,FALSE),"")</x:f>
      </x:c>
      <x:c r="E5" s="41" t="str">
        <x:f>IFERROR(VLOOKUP(B5,Karyawan!$A:$L,3,FALSE),"")</x:f>
      </x:c>
      <x:c r="F5" s="41" t="n">
        <x:f>IFERROR(VLOOKUP(B5,Karyawan!$A:$L,8,FALSE),0)</x:f>
        <x:v>0</x:v>
      </x:c>
      <x:c r="G5" s="41" t="str">
        <x:f>IFERROR(VLOOKUP(B5,Karyawan!$A:$L,6,FALSE),"")</x:f>
      </x:c>
      <x:c r="H5" s="41" t="str">
        <x:f>IFERROR(VLOOKUP(B5,Karyawan!$A:$L,4,FALSE),"")</x:f>
      </x:c>
      <x:c r="I5" s="41" t="str">
        <x:f>IFERROR(VLOOKUP(B5,Karyawan!$A:$L,5,FALSE),"")</x:f>
      </x:c>
      <x:c r="J5" s="41" t="n">
        <x:f>24</x:f>
        <x:v>24</x:v>
      </x:c>
      <x:c r="K5" s="41" t="n">
        <x:f>24</x:f>
        <x:v>24</x:v>
      </x:c>
      <x:c r="L5" s="41" t="n">
        <x:f>0</x:f>
        <x:v>0</x:v>
      </x:c>
      <x:c r="M5" s="41" t="n">
        <x:f>0</x:f>
        <x:v>0</x:v>
      </x:c>
      <x:c r="N5" s="41" t="n">
        <x:f>0</x:f>
        <x:v>0</x:v>
      </x:c>
      <x:c r="O5" s="41" t="n">
        <x:f>0</x:f>
        <x:v>0</x:v>
      </x:c>
      <x:c r="P5" s="48" t="n">
        <x:f>IFERROR(VLOOKUP(G5,Golongan!$B:$E,2,FALSE),0)</x:f>
        <x:v>0</x:v>
      </x:c>
      <x:c r="Q5" s="48" t="n">
        <x:f>IFERROR(VLOOKUP(I5,Jabatan!$B:$E,3,FALSE),0)</x:f>
        <x:v>0</x:v>
      </x:c>
      <x:c r="R5" s="48" t="n">
        <x:f>IF(J5&gt;0,IF(K5&gt;=J5,IFERROR(VLOOKUP(G5,Golongan!$B:$E,4,FALSE),0),K5*IFERROR(VLOOKUP(G5,Golongan!$B:$E,3,FALSE),0)),0)</x:f>
        <x:v>0</x:v>
      </x:c>
      <x:c r="S5" s="48" t="n">
        <x:f>IFERROR(VLOOKUP(I5,Jabatan!$B:$E,4,FALSE),0)</x:f>
        <x:v>0</x:v>
      </x:c>
      <x:c r="T5" s="48" t="n">
        <x:f>F5*IFERROR(VLOOKUP("Tunjangan Masa Kerja / Tahun",Komponen!$A:$E,5,FALSE),0)</x:f>
        <x:v>0</x:v>
      </x:c>
      <x:c r="U5" s="48" t="n">
        <x:f>SUMIF(Lembur!$L$2:$L$501,A5&amp;"|"&amp;B5,Lembur!$I$2:$I$501)</x:f>
        <x:v>0</x:v>
      </x:c>
      <x:c r="V5" s="48" t="n">
        <x:f>K5*IFERROR(VLOOKUP("Uang Makan / Hari",Komponen!$A:$E,5,FALSE),0)</x:f>
        <x:v>0</x:v>
      </x:c>
      <x:c r="W5" s="48" t="n">
        <x:f>0</x:f>
        <x:v>0</x:v>
      </x:c>
      <x:c r="X5" s="48" t="n">
        <x:f>SUM(P5:W5)</x:f>
        <x:v>0</x:v>
      </x:c>
      <x:c r="Y5" s="48" t="n">
        <x:f>O5*IFERROR(VLOOKUP("Potongan Alpha",Komponen!$A:$E,5,FALSE),0)</x:f>
        <x:v>0</x:v>
      </x:c>
      <x:c r="Z5" s="48" t="n">
        <x:f>L5*IFERROR(VLOOKUP("Potongan Telat",Komponen!$A:$E,5,FALSE),0)</x:f>
        <x:v>0</x:v>
      </x:c>
      <x:c r="AA5" s="48" t="n">
        <x:f>0</x:f>
        <x:v>0</x:v>
      </x:c>
      <x:c r="AB5" s="48" t="n">
        <x:f>SUM(Y5:AA5)</x:f>
        <x:v>0</x:v>
      </x:c>
      <x:c r="AC5" s="48" t="n">
        <x:f>0</x:f>
        <x:v>0</x:v>
      </x:c>
      <x:c r="AD5" s="48" t="n">
        <x:f>X5-AB5+AC5</x:f>
        <x:v>0</x:v>
      </x:c>
      <x:c r="AE5" s="41" t="str">
        <x:f>IFERROR(VLOOKUP(B5,Karyawan!$A:$L,10,FALSE),"")</x:f>
      </x:c>
      <x:c r="AF5" s="41" t="str">
        <x:f>IF(AD5&lt;=0,"Cek gaji bersih",IF(P5&lt;=0,"Cek gaji pokok",IF(H5="","Cek jabatan",IF(G5="","Cek golongan","OK"))))</x:f>
        <x:v>Cek gaji bersih</x:v>
      </x:c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/>
      <x:c r="B6" s="41"/>
      <x:c r="C6" s="41" t="n">
        <x:f>B6</x:f>
        <x:v>0</x:v>
      </x:c>
      <x:c r="D6" s="41" t="str">
        <x:f>IFERROR(VLOOKUP(B6,Karyawan!$A:$L,2,FALSE),"")</x:f>
      </x:c>
      <x:c r="E6" s="41" t="str">
        <x:f>IFERROR(VLOOKUP(B6,Karyawan!$A:$L,3,FALSE),"")</x:f>
      </x:c>
      <x:c r="F6" s="41" t="n">
        <x:f>IFERROR(VLOOKUP(B6,Karyawan!$A:$L,8,FALSE),0)</x:f>
        <x:v>0</x:v>
      </x:c>
      <x:c r="G6" s="41" t="str">
        <x:f>IFERROR(VLOOKUP(B6,Karyawan!$A:$L,6,FALSE),"")</x:f>
      </x:c>
      <x:c r="H6" s="41" t="str">
        <x:f>IFERROR(VLOOKUP(B6,Karyawan!$A:$L,4,FALSE),"")</x:f>
      </x:c>
      <x:c r="I6" s="41" t="str">
        <x:f>IFERROR(VLOOKUP(B6,Karyawan!$A:$L,5,FALSE),"")</x:f>
      </x:c>
      <x:c r="J6" s="41" t="n">
        <x:f>24</x:f>
        <x:v>24</x:v>
      </x:c>
      <x:c r="K6" s="41" t="n">
        <x:f>24</x:f>
        <x:v>24</x:v>
      </x:c>
      <x:c r="L6" s="41" t="n">
        <x:f>0</x:f>
        <x:v>0</x:v>
      </x:c>
      <x:c r="M6" s="41" t="n">
        <x:f>0</x:f>
        <x:v>0</x:v>
      </x:c>
      <x:c r="N6" s="41" t="n">
        <x:f>0</x:f>
        <x:v>0</x:v>
      </x:c>
      <x:c r="O6" s="41" t="n">
        <x:f>0</x:f>
        <x:v>0</x:v>
      </x:c>
      <x:c r="P6" s="48" t="n">
        <x:f>IFERROR(VLOOKUP(G6,Golongan!$B:$E,2,FALSE),0)</x:f>
        <x:v>0</x:v>
      </x:c>
      <x:c r="Q6" s="48" t="n">
        <x:f>IFERROR(VLOOKUP(I6,Jabatan!$B:$E,3,FALSE),0)</x:f>
        <x:v>0</x:v>
      </x:c>
      <x:c r="R6" s="48" t="n">
        <x:f>IF(J6&gt;0,IF(K6&gt;=J6,IFERROR(VLOOKUP(G6,Golongan!$B:$E,4,FALSE),0),K6*IFERROR(VLOOKUP(G6,Golongan!$B:$E,3,FALSE),0)),0)</x:f>
        <x:v>0</x:v>
      </x:c>
      <x:c r="S6" s="48" t="n">
        <x:f>IFERROR(VLOOKUP(I6,Jabatan!$B:$E,4,FALSE),0)</x:f>
        <x:v>0</x:v>
      </x:c>
      <x:c r="T6" s="48" t="n">
        <x:f>F6*IFERROR(VLOOKUP("Tunjangan Masa Kerja / Tahun",Komponen!$A:$E,5,FALSE),0)</x:f>
        <x:v>0</x:v>
      </x:c>
      <x:c r="U6" s="48" t="n">
        <x:f>SUMIF(Lembur!$L$2:$L$501,A6&amp;"|"&amp;B6,Lembur!$I$2:$I$501)</x:f>
        <x:v>0</x:v>
      </x:c>
      <x:c r="V6" s="48" t="n">
        <x:f>K6*IFERROR(VLOOKUP("Uang Makan / Hari",Komponen!$A:$E,5,FALSE),0)</x:f>
        <x:v>0</x:v>
      </x:c>
      <x:c r="W6" s="48" t="n">
        <x:f>0</x:f>
        <x:v>0</x:v>
      </x:c>
      <x:c r="X6" s="48" t="n">
        <x:f>SUM(P6:W6)</x:f>
        <x:v>0</x:v>
      </x:c>
      <x:c r="Y6" s="48" t="n">
        <x:f>O6*IFERROR(VLOOKUP("Potongan Alpha",Komponen!$A:$E,5,FALSE),0)</x:f>
        <x:v>0</x:v>
      </x:c>
      <x:c r="Z6" s="48" t="n">
        <x:f>L6*IFERROR(VLOOKUP("Potongan Telat",Komponen!$A:$E,5,FALSE),0)</x:f>
        <x:v>0</x:v>
      </x:c>
      <x:c r="AA6" s="48" t="n">
        <x:f>0</x:f>
        <x:v>0</x:v>
      </x:c>
      <x:c r="AB6" s="48" t="n">
        <x:f>SUM(Y6:AA6)</x:f>
        <x:v>0</x:v>
      </x:c>
      <x:c r="AC6" s="48" t="n">
        <x:f>0</x:f>
        <x:v>0</x:v>
      </x:c>
      <x:c r="AD6" s="48" t="n">
        <x:f>X6-AB6+AC6</x:f>
        <x:v>0</x:v>
      </x:c>
      <x:c r="AE6" s="41" t="str">
        <x:f>IFERROR(VLOOKUP(B6,Karyawan!$A:$L,10,FALSE),"")</x:f>
      </x:c>
      <x:c r="AF6" s="41" t="str">
        <x:f>IF(AD6&lt;=0,"Cek gaji bersih",IF(P6&lt;=0,"Cek gaji pokok",IF(H6="","Cek jabatan",IF(G6="","Cek golongan","OK"))))</x:f>
        <x:v>Cek gaji bersih</x:v>
      </x:c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/>
      <x:c r="B7" s="41"/>
      <x:c r="C7" s="41" t="n">
        <x:f>B7</x:f>
        <x:v>0</x:v>
      </x:c>
      <x:c r="D7" s="41" t="str">
        <x:f>IFERROR(VLOOKUP(B7,Karyawan!$A:$L,2,FALSE),"")</x:f>
      </x:c>
      <x:c r="E7" s="41" t="str">
        <x:f>IFERROR(VLOOKUP(B7,Karyawan!$A:$L,3,FALSE),"")</x:f>
      </x:c>
      <x:c r="F7" s="41" t="n">
        <x:f>IFERROR(VLOOKUP(B7,Karyawan!$A:$L,8,FALSE),0)</x:f>
        <x:v>0</x:v>
      </x:c>
      <x:c r="G7" s="41" t="str">
        <x:f>IFERROR(VLOOKUP(B7,Karyawan!$A:$L,6,FALSE),"")</x:f>
      </x:c>
      <x:c r="H7" s="41" t="str">
        <x:f>IFERROR(VLOOKUP(B7,Karyawan!$A:$L,4,FALSE),"")</x:f>
      </x:c>
      <x:c r="I7" s="41" t="str">
        <x:f>IFERROR(VLOOKUP(B7,Karyawan!$A:$L,5,FALSE),"")</x:f>
      </x:c>
      <x:c r="J7" s="41" t="n">
        <x:f>24</x:f>
        <x:v>24</x:v>
      </x:c>
      <x:c r="K7" s="41" t="n">
        <x:f>24</x:f>
        <x:v>24</x:v>
      </x:c>
      <x:c r="L7" s="41" t="n">
        <x:f>0</x:f>
        <x:v>0</x:v>
      </x:c>
      <x:c r="M7" s="41" t="n">
        <x:f>0</x:f>
        <x:v>0</x:v>
      </x:c>
      <x:c r="N7" s="41" t="n">
        <x:f>0</x:f>
        <x:v>0</x:v>
      </x:c>
      <x:c r="O7" s="41" t="n">
        <x:f>0</x:f>
        <x:v>0</x:v>
      </x:c>
      <x:c r="P7" s="48" t="n">
        <x:f>IFERROR(VLOOKUP(G7,Golongan!$B:$E,2,FALSE),0)</x:f>
        <x:v>0</x:v>
      </x:c>
      <x:c r="Q7" s="48" t="n">
        <x:f>IFERROR(VLOOKUP(I7,Jabatan!$B:$E,3,FALSE),0)</x:f>
        <x:v>0</x:v>
      </x:c>
      <x:c r="R7" s="48" t="n">
        <x:f>IF(J7&gt;0,IF(K7&gt;=J7,IFERROR(VLOOKUP(G7,Golongan!$B:$E,4,FALSE),0),K7*IFERROR(VLOOKUP(G7,Golongan!$B:$E,3,FALSE),0)),0)</x:f>
        <x:v>0</x:v>
      </x:c>
      <x:c r="S7" s="48" t="n">
        <x:f>IFERROR(VLOOKUP(I7,Jabatan!$B:$E,4,FALSE),0)</x:f>
        <x:v>0</x:v>
      </x:c>
      <x:c r="T7" s="48" t="n">
        <x:f>F7*IFERROR(VLOOKUP("Tunjangan Masa Kerja / Tahun",Komponen!$A:$E,5,FALSE),0)</x:f>
        <x:v>0</x:v>
      </x:c>
      <x:c r="U7" s="48" t="n">
        <x:f>SUMIF(Lembur!$L$2:$L$501,A7&amp;"|"&amp;B7,Lembur!$I$2:$I$501)</x:f>
        <x:v>0</x:v>
      </x:c>
      <x:c r="V7" s="48" t="n">
        <x:f>K7*IFERROR(VLOOKUP("Uang Makan / Hari",Komponen!$A:$E,5,FALSE),0)</x:f>
        <x:v>0</x:v>
      </x:c>
      <x:c r="W7" s="48" t="n">
        <x:f>0</x:f>
        <x:v>0</x:v>
      </x:c>
      <x:c r="X7" s="48" t="n">
        <x:f>SUM(P7:W7)</x:f>
        <x:v>0</x:v>
      </x:c>
      <x:c r="Y7" s="48" t="n">
        <x:f>O7*IFERROR(VLOOKUP("Potongan Alpha",Komponen!$A:$E,5,FALSE),0)</x:f>
        <x:v>0</x:v>
      </x:c>
      <x:c r="Z7" s="48" t="n">
        <x:f>L7*IFERROR(VLOOKUP("Potongan Telat",Komponen!$A:$E,5,FALSE),0)</x:f>
        <x:v>0</x:v>
      </x:c>
      <x:c r="AA7" s="48" t="n">
        <x:f>0</x:f>
        <x:v>0</x:v>
      </x:c>
      <x:c r="AB7" s="48" t="n">
        <x:f>SUM(Y7:AA7)</x:f>
        <x:v>0</x:v>
      </x:c>
      <x:c r="AC7" s="48" t="n">
        <x:f>0</x:f>
        <x:v>0</x:v>
      </x:c>
      <x:c r="AD7" s="48" t="n">
        <x:f>X7-AB7+AC7</x:f>
        <x:v>0</x:v>
      </x:c>
      <x:c r="AE7" s="41" t="str">
        <x:f>IFERROR(VLOOKUP(B7,Karyawan!$A:$L,10,FALSE),"")</x:f>
      </x:c>
      <x:c r="AF7" s="41" t="str">
        <x:f>IF(AD7&lt;=0,"Cek gaji bersih",IF(P7&lt;=0,"Cek gaji pokok",IF(H7="","Cek jabatan",IF(G7="","Cek golongan","OK"))))</x:f>
        <x:v>Cek gaji bersih</x:v>
      </x:c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/>
      <x:c r="B8" s="41"/>
      <x:c r="C8" s="41" t="n">
        <x:f>B8</x:f>
        <x:v>0</x:v>
      </x:c>
      <x:c r="D8" s="41" t="str">
        <x:f>IFERROR(VLOOKUP(B8,Karyawan!$A:$L,2,FALSE),"")</x:f>
      </x:c>
      <x:c r="E8" s="41" t="str">
        <x:f>IFERROR(VLOOKUP(B8,Karyawan!$A:$L,3,FALSE),"")</x:f>
      </x:c>
      <x:c r="F8" s="41" t="n">
        <x:f>IFERROR(VLOOKUP(B8,Karyawan!$A:$L,8,FALSE),0)</x:f>
        <x:v>0</x:v>
      </x:c>
      <x:c r="G8" s="41" t="str">
        <x:f>IFERROR(VLOOKUP(B8,Karyawan!$A:$L,6,FALSE),"")</x:f>
      </x:c>
      <x:c r="H8" s="41" t="str">
        <x:f>IFERROR(VLOOKUP(B8,Karyawan!$A:$L,4,FALSE),"")</x:f>
      </x:c>
      <x:c r="I8" s="41" t="str">
        <x:f>IFERROR(VLOOKUP(B8,Karyawan!$A:$L,5,FALSE),"")</x:f>
      </x:c>
      <x:c r="J8" s="41" t="n">
        <x:f>24</x:f>
        <x:v>24</x:v>
      </x:c>
      <x:c r="K8" s="41" t="n">
        <x:f>24</x:f>
        <x:v>24</x:v>
      </x:c>
      <x:c r="L8" s="41" t="n">
        <x:f>0</x:f>
        <x:v>0</x:v>
      </x:c>
      <x:c r="M8" s="41" t="n">
        <x:f>0</x:f>
        <x:v>0</x:v>
      </x:c>
      <x:c r="N8" s="41" t="n">
        <x:f>0</x:f>
        <x:v>0</x:v>
      </x:c>
      <x:c r="O8" s="41" t="n">
        <x:f>0</x:f>
        <x:v>0</x:v>
      </x:c>
      <x:c r="P8" s="48" t="n">
        <x:f>IFERROR(VLOOKUP(G8,Golongan!$B:$E,2,FALSE),0)</x:f>
        <x:v>0</x:v>
      </x:c>
      <x:c r="Q8" s="48" t="n">
        <x:f>IFERROR(VLOOKUP(I8,Jabatan!$B:$E,3,FALSE),0)</x:f>
        <x:v>0</x:v>
      </x:c>
      <x:c r="R8" s="48" t="n">
        <x:f>IF(J8&gt;0,IF(K8&gt;=J8,IFERROR(VLOOKUP(G8,Golongan!$B:$E,4,FALSE),0),K8*IFERROR(VLOOKUP(G8,Golongan!$B:$E,3,FALSE),0)),0)</x:f>
        <x:v>0</x:v>
      </x:c>
      <x:c r="S8" s="48" t="n">
        <x:f>IFERROR(VLOOKUP(I8,Jabatan!$B:$E,4,FALSE),0)</x:f>
        <x:v>0</x:v>
      </x:c>
      <x:c r="T8" s="48" t="n">
        <x:f>F8*IFERROR(VLOOKUP("Tunjangan Masa Kerja / Tahun",Komponen!$A:$E,5,FALSE),0)</x:f>
        <x:v>0</x:v>
      </x:c>
      <x:c r="U8" s="48" t="n">
        <x:f>SUMIF(Lembur!$L$2:$L$501,A8&amp;"|"&amp;B8,Lembur!$I$2:$I$501)</x:f>
        <x:v>0</x:v>
      </x:c>
      <x:c r="V8" s="48" t="n">
        <x:f>K8*IFERROR(VLOOKUP("Uang Makan / Hari",Komponen!$A:$E,5,FALSE),0)</x:f>
        <x:v>0</x:v>
      </x:c>
      <x:c r="W8" s="48" t="n">
        <x:f>0</x:f>
        <x:v>0</x:v>
      </x:c>
      <x:c r="X8" s="48" t="n">
        <x:f>SUM(P8:W8)</x:f>
        <x:v>0</x:v>
      </x:c>
      <x:c r="Y8" s="48" t="n">
        <x:f>O8*IFERROR(VLOOKUP("Potongan Alpha",Komponen!$A:$E,5,FALSE),0)</x:f>
        <x:v>0</x:v>
      </x:c>
      <x:c r="Z8" s="48" t="n">
        <x:f>L8*IFERROR(VLOOKUP("Potongan Telat",Komponen!$A:$E,5,FALSE),0)</x:f>
        <x:v>0</x:v>
      </x:c>
      <x:c r="AA8" s="48" t="n">
        <x:f>0</x:f>
        <x:v>0</x:v>
      </x:c>
      <x:c r="AB8" s="48" t="n">
        <x:f>SUM(Y8:AA8)</x:f>
        <x:v>0</x:v>
      </x:c>
      <x:c r="AC8" s="48" t="n">
        <x:f>0</x:f>
        <x:v>0</x:v>
      </x:c>
      <x:c r="AD8" s="48" t="n">
        <x:f>X8-AB8+AC8</x:f>
        <x:v>0</x:v>
      </x:c>
      <x:c r="AE8" s="41" t="str">
        <x:f>IFERROR(VLOOKUP(B8,Karyawan!$A:$L,10,FALSE),"")</x:f>
      </x:c>
      <x:c r="AF8" s="41" t="str">
        <x:f>IF(AD8&lt;=0,"Cek gaji bersih",IF(P8&lt;=0,"Cek gaji pokok",IF(H8="","Cek jabatan",IF(G8="","Cek golongan","OK"))))</x:f>
        <x:v>Cek gaji bersih</x:v>
      </x:c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1" t="n">
        <x:f>B9</x:f>
        <x:v>0</x:v>
      </x:c>
      <x:c r="D9" s="41" t="str">
        <x:f>IFERROR(VLOOKUP(B9,Karyawan!$A:$L,2,FALSE),"")</x:f>
      </x:c>
      <x:c r="E9" s="41" t="str">
        <x:f>IFERROR(VLOOKUP(B9,Karyawan!$A:$L,3,FALSE),"")</x:f>
      </x:c>
      <x:c r="F9" s="41" t="n">
        <x:f>IFERROR(VLOOKUP(B9,Karyawan!$A:$L,8,FALSE),0)</x:f>
        <x:v>0</x:v>
      </x:c>
      <x:c r="G9" s="41" t="str">
        <x:f>IFERROR(VLOOKUP(B9,Karyawan!$A:$L,6,FALSE),"")</x:f>
      </x:c>
      <x:c r="H9" s="41" t="str">
        <x:f>IFERROR(VLOOKUP(B9,Karyawan!$A:$L,4,FALSE),"")</x:f>
      </x:c>
      <x:c r="I9" s="41" t="str">
        <x:f>IFERROR(VLOOKUP(B9,Karyawan!$A:$L,5,FALSE),"")</x:f>
      </x:c>
      <x:c r="J9" s="41" t="n">
        <x:f>24</x:f>
        <x:v>24</x:v>
      </x:c>
      <x:c r="K9" s="41" t="n">
        <x:f>24</x:f>
        <x:v>24</x:v>
      </x:c>
      <x:c r="L9" s="41" t="n">
        <x:f>0</x:f>
        <x:v>0</x:v>
      </x:c>
      <x:c r="M9" s="41" t="n">
        <x:f>0</x:f>
        <x:v>0</x:v>
      </x:c>
      <x:c r="N9" s="41" t="n">
        <x:f>0</x:f>
        <x:v>0</x:v>
      </x:c>
      <x:c r="O9" s="41" t="n">
        <x:f>0</x:f>
        <x:v>0</x:v>
      </x:c>
      <x:c r="P9" s="48" t="n">
        <x:f>IFERROR(VLOOKUP(G9,Golongan!$B:$E,2,FALSE),0)</x:f>
        <x:v>0</x:v>
      </x:c>
      <x:c r="Q9" s="48" t="n">
        <x:f>IFERROR(VLOOKUP(I9,Jabatan!$B:$E,3,FALSE),0)</x:f>
        <x:v>0</x:v>
      </x:c>
      <x:c r="R9" s="48" t="n">
        <x:f>IF(J9&gt;0,IF(K9&gt;=J9,IFERROR(VLOOKUP(G9,Golongan!$B:$E,4,FALSE),0),K9*IFERROR(VLOOKUP(G9,Golongan!$B:$E,3,FALSE),0)),0)</x:f>
        <x:v>0</x:v>
      </x:c>
      <x:c r="S9" s="48" t="n">
        <x:f>IFERROR(VLOOKUP(I9,Jabatan!$B:$E,4,FALSE),0)</x:f>
        <x:v>0</x:v>
      </x:c>
      <x:c r="T9" s="48" t="n">
        <x:f>F9*IFERROR(VLOOKUP("Tunjangan Masa Kerja / Tahun",Komponen!$A:$E,5,FALSE),0)</x:f>
        <x:v>0</x:v>
      </x:c>
      <x:c r="U9" s="48" t="n">
        <x:f>SUMIF(Lembur!$L$2:$L$501,A9&amp;"|"&amp;B9,Lembur!$I$2:$I$501)</x:f>
        <x:v>0</x:v>
      </x:c>
      <x:c r="V9" s="48" t="n">
        <x:f>K9*IFERROR(VLOOKUP("Uang Makan / Hari",Komponen!$A:$E,5,FALSE),0)</x:f>
        <x:v>0</x:v>
      </x:c>
      <x:c r="W9" s="48" t="n">
        <x:f>0</x:f>
        <x:v>0</x:v>
      </x:c>
      <x:c r="X9" s="48" t="n">
        <x:f>SUM(P9:W9)</x:f>
        <x:v>0</x:v>
      </x:c>
      <x:c r="Y9" s="48" t="n">
        <x:f>O9*IFERROR(VLOOKUP("Potongan Alpha",Komponen!$A:$E,5,FALSE),0)</x:f>
        <x:v>0</x:v>
      </x:c>
      <x:c r="Z9" s="48" t="n">
        <x:f>L9*IFERROR(VLOOKUP("Potongan Telat",Komponen!$A:$E,5,FALSE),0)</x:f>
        <x:v>0</x:v>
      </x:c>
      <x:c r="AA9" s="48" t="n">
        <x:f>0</x:f>
        <x:v>0</x:v>
      </x:c>
      <x:c r="AB9" s="48" t="n">
        <x:f>SUM(Y9:AA9)</x:f>
        <x:v>0</x:v>
      </x:c>
      <x:c r="AC9" s="48" t="n">
        <x:f>0</x:f>
        <x:v>0</x:v>
      </x:c>
      <x:c r="AD9" s="48" t="n">
        <x:f>X9-AB9+AC9</x:f>
        <x:v>0</x:v>
      </x:c>
      <x:c r="AE9" s="41" t="str">
        <x:f>IFERROR(VLOOKUP(B9,Karyawan!$A:$L,10,FALSE),"")</x:f>
      </x:c>
      <x:c r="AF9" s="41" t="str">
        <x:f>IF(AD9&lt;=0,"Cek gaji bersih",IF(P9&lt;=0,"Cek gaji pokok",IF(H9="","Cek jabatan",IF(G9="","Cek golongan","OK"))))</x:f>
        <x:v>Cek gaji bersih</x:v>
      </x:c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1" t="n">
        <x:f>B10</x:f>
        <x:v>0</x:v>
      </x:c>
      <x:c r="D10" s="41" t="str">
        <x:f>IFERROR(VLOOKUP(B10,Karyawan!$A:$L,2,FALSE),"")</x:f>
      </x:c>
      <x:c r="E10" s="41" t="str">
        <x:f>IFERROR(VLOOKUP(B10,Karyawan!$A:$L,3,FALSE),"")</x:f>
      </x:c>
      <x:c r="F10" s="41" t="n">
        <x:f>IFERROR(VLOOKUP(B10,Karyawan!$A:$L,8,FALSE),0)</x:f>
        <x:v>0</x:v>
      </x:c>
      <x:c r="G10" s="41" t="str">
        <x:f>IFERROR(VLOOKUP(B10,Karyawan!$A:$L,6,FALSE),"")</x:f>
      </x:c>
      <x:c r="H10" s="41" t="str">
        <x:f>IFERROR(VLOOKUP(B10,Karyawan!$A:$L,4,FALSE),"")</x:f>
      </x:c>
      <x:c r="I10" s="41" t="str">
        <x:f>IFERROR(VLOOKUP(B10,Karyawan!$A:$L,5,FALSE),"")</x:f>
      </x:c>
      <x:c r="J10" s="41" t="n">
        <x:f>24</x:f>
        <x:v>24</x:v>
      </x:c>
      <x:c r="K10" s="41" t="n">
        <x:f>24</x:f>
        <x:v>24</x:v>
      </x:c>
      <x:c r="L10" s="41" t="n">
        <x:f>0</x:f>
        <x:v>0</x:v>
      </x:c>
      <x:c r="M10" s="41" t="n">
        <x:f>0</x:f>
        <x:v>0</x:v>
      </x:c>
      <x:c r="N10" s="41" t="n">
        <x:f>0</x:f>
        <x:v>0</x:v>
      </x:c>
      <x:c r="O10" s="41" t="n">
        <x:f>0</x:f>
        <x:v>0</x:v>
      </x:c>
      <x:c r="P10" s="48" t="n">
        <x:f>IFERROR(VLOOKUP(G10,Golongan!$B:$E,2,FALSE),0)</x:f>
        <x:v>0</x:v>
      </x:c>
      <x:c r="Q10" s="48" t="n">
        <x:f>IFERROR(VLOOKUP(I10,Jabatan!$B:$E,3,FALSE),0)</x:f>
        <x:v>0</x:v>
      </x:c>
      <x:c r="R10" s="48" t="n">
        <x:f>IF(J10&gt;0,IF(K10&gt;=J10,IFERROR(VLOOKUP(G10,Golongan!$B:$E,4,FALSE),0),K10*IFERROR(VLOOKUP(G10,Golongan!$B:$E,3,FALSE),0)),0)</x:f>
        <x:v>0</x:v>
      </x:c>
      <x:c r="S10" s="48" t="n">
        <x:f>IFERROR(VLOOKUP(I10,Jabatan!$B:$E,4,FALSE),0)</x:f>
        <x:v>0</x:v>
      </x:c>
      <x:c r="T10" s="48" t="n">
        <x:f>F10*IFERROR(VLOOKUP("Tunjangan Masa Kerja / Tahun",Komponen!$A:$E,5,FALSE),0)</x:f>
        <x:v>0</x:v>
      </x:c>
      <x:c r="U10" s="48" t="n">
        <x:f>SUMIF(Lembur!$L$2:$L$501,A10&amp;"|"&amp;B10,Lembur!$I$2:$I$501)</x:f>
        <x:v>0</x:v>
      </x:c>
      <x:c r="V10" s="48" t="n">
        <x:f>K10*IFERROR(VLOOKUP("Uang Makan / Hari",Komponen!$A:$E,5,FALSE),0)</x:f>
        <x:v>0</x:v>
      </x:c>
      <x:c r="W10" s="48" t="n">
        <x:f>0</x:f>
        <x:v>0</x:v>
      </x:c>
      <x:c r="X10" s="48" t="n">
        <x:f>SUM(P10:W10)</x:f>
        <x:v>0</x:v>
      </x:c>
      <x:c r="Y10" s="48" t="n">
        <x:f>O10*IFERROR(VLOOKUP("Potongan Alpha",Komponen!$A:$E,5,FALSE),0)</x:f>
        <x:v>0</x:v>
      </x:c>
      <x:c r="Z10" s="48" t="n">
        <x:f>L10*IFERROR(VLOOKUP("Potongan Telat",Komponen!$A:$E,5,FALSE),0)</x:f>
        <x:v>0</x:v>
      </x:c>
      <x:c r="AA10" s="48" t="n">
        <x:f>0</x:f>
        <x:v>0</x:v>
      </x:c>
      <x:c r="AB10" s="48" t="n">
        <x:f>SUM(Y10:AA10)</x:f>
        <x:v>0</x:v>
      </x:c>
      <x:c r="AC10" s="48" t="n">
        <x:f>0</x:f>
        <x:v>0</x:v>
      </x:c>
      <x:c r="AD10" s="48" t="n">
        <x:f>X10-AB10+AC10</x:f>
        <x:v>0</x:v>
      </x:c>
      <x:c r="AE10" s="41" t="str">
        <x:f>IFERROR(VLOOKUP(B10,Karyawan!$A:$L,10,FALSE),"")</x:f>
      </x:c>
      <x:c r="AF10" s="41" t="str">
        <x:f>IF(AD10&lt;=0,"Cek gaji bersih",IF(P10&lt;=0,"Cek gaji pokok",IF(H10="","Cek jabatan",IF(G10="","Cek golongan","OK"))))</x:f>
        <x:v>Cek gaji bersih</x:v>
      </x:c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1" t="n">
        <x:f>B11</x:f>
        <x:v>0</x:v>
      </x:c>
      <x:c r="D11" s="41" t="str">
        <x:f>IFERROR(VLOOKUP(B11,Karyawan!$A:$L,2,FALSE),"")</x:f>
      </x:c>
      <x:c r="E11" s="41" t="str">
        <x:f>IFERROR(VLOOKUP(B11,Karyawan!$A:$L,3,FALSE),"")</x:f>
      </x:c>
      <x:c r="F11" s="41" t="n">
        <x:f>IFERROR(VLOOKUP(B11,Karyawan!$A:$L,8,FALSE),0)</x:f>
        <x:v>0</x:v>
      </x:c>
      <x:c r="G11" s="41" t="str">
        <x:f>IFERROR(VLOOKUP(B11,Karyawan!$A:$L,6,FALSE),"")</x:f>
      </x:c>
      <x:c r="H11" s="41" t="str">
        <x:f>IFERROR(VLOOKUP(B11,Karyawan!$A:$L,4,FALSE),"")</x:f>
      </x:c>
      <x:c r="I11" s="41" t="str">
        <x:f>IFERROR(VLOOKUP(B11,Karyawan!$A:$L,5,FALSE),"")</x:f>
      </x:c>
      <x:c r="J11" s="41" t="n">
        <x:f>24</x:f>
        <x:v>24</x:v>
      </x:c>
      <x:c r="K11" s="41" t="n">
        <x:f>24</x:f>
        <x:v>24</x:v>
      </x:c>
      <x:c r="L11" s="41" t="n">
        <x:f>0</x:f>
        <x:v>0</x:v>
      </x:c>
      <x:c r="M11" s="41" t="n">
        <x:f>0</x:f>
        <x:v>0</x:v>
      </x:c>
      <x:c r="N11" s="41" t="n">
        <x:f>0</x:f>
        <x:v>0</x:v>
      </x:c>
      <x:c r="O11" s="41" t="n">
        <x:f>0</x:f>
        <x:v>0</x:v>
      </x:c>
      <x:c r="P11" s="48" t="n">
        <x:f>IFERROR(VLOOKUP(G11,Golongan!$B:$E,2,FALSE),0)</x:f>
        <x:v>0</x:v>
      </x:c>
      <x:c r="Q11" s="48" t="n">
        <x:f>IFERROR(VLOOKUP(I11,Jabatan!$B:$E,3,FALSE),0)</x:f>
        <x:v>0</x:v>
      </x:c>
      <x:c r="R11" s="48" t="n">
        <x:f>IF(J11&gt;0,IF(K11&gt;=J11,IFERROR(VLOOKUP(G11,Golongan!$B:$E,4,FALSE),0),K11*IFERROR(VLOOKUP(G11,Golongan!$B:$E,3,FALSE),0)),0)</x:f>
        <x:v>0</x:v>
      </x:c>
      <x:c r="S11" s="48" t="n">
        <x:f>IFERROR(VLOOKUP(I11,Jabatan!$B:$E,4,FALSE),0)</x:f>
        <x:v>0</x:v>
      </x:c>
      <x:c r="T11" s="48" t="n">
        <x:f>F11*IFERROR(VLOOKUP("Tunjangan Masa Kerja / Tahun",Komponen!$A:$E,5,FALSE),0)</x:f>
        <x:v>0</x:v>
      </x:c>
      <x:c r="U11" s="48" t="n">
        <x:f>SUMIF(Lembur!$L$2:$L$501,A11&amp;"|"&amp;B11,Lembur!$I$2:$I$501)</x:f>
        <x:v>0</x:v>
      </x:c>
      <x:c r="V11" s="48" t="n">
        <x:f>K11*IFERROR(VLOOKUP("Uang Makan / Hari",Komponen!$A:$E,5,FALSE),0)</x:f>
        <x:v>0</x:v>
      </x:c>
      <x:c r="W11" s="48" t="n">
        <x:f>0</x:f>
        <x:v>0</x:v>
      </x:c>
      <x:c r="X11" s="48" t="n">
        <x:f>SUM(P11:W11)</x:f>
        <x:v>0</x:v>
      </x:c>
      <x:c r="Y11" s="48" t="n">
        <x:f>O11*IFERROR(VLOOKUP("Potongan Alpha",Komponen!$A:$E,5,FALSE),0)</x:f>
        <x:v>0</x:v>
      </x:c>
      <x:c r="Z11" s="48" t="n">
        <x:f>L11*IFERROR(VLOOKUP("Potongan Telat",Komponen!$A:$E,5,FALSE),0)</x:f>
        <x:v>0</x:v>
      </x:c>
      <x:c r="AA11" s="48" t="n">
        <x:f>0</x:f>
        <x:v>0</x:v>
      </x:c>
      <x:c r="AB11" s="48" t="n">
        <x:f>SUM(Y11:AA11)</x:f>
        <x:v>0</x:v>
      </x:c>
      <x:c r="AC11" s="48" t="n">
        <x:f>0</x:f>
        <x:v>0</x:v>
      </x:c>
      <x:c r="AD11" s="48" t="n">
        <x:f>X11-AB11+AC11</x:f>
        <x:v>0</x:v>
      </x:c>
      <x:c r="AE11" s="41" t="str">
        <x:f>IFERROR(VLOOKUP(B11,Karyawan!$A:$L,10,FALSE),"")</x:f>
      </x:c>
      <x:c r="AF11" s="41" t="str">
        <x:f>IF(AD11&lt;=0,"Cek gaji bersih",IF(P11&lt;=0,"Cek gaji pokok",IF(H11="","Cek jabatan",IF(G11="","Cek golongan","OK"))))</x:f>
        <x:v>Cek gaji bersih</x:v>
      </x:c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1" t="n">
        <x:f>B12</x:f>
        <x:v>0</x:v>
      </x:c>
      <x:c r="D12" s="41" t="str">
        <x:f>IFERROR(VLOOKUP(B12,Karyawan!$A:$L,2,FALSE),"")</x:f>
      </x:c>
      <x:c r="E12" s="41" t="str">
        <x:f>IFERROR(VLOOKUP(B12,Karyawan!$A:$L,3,FALSE),"")</x:f>
      </x:c>
      <x:c r="F12" s="41" t="n">
        <x:f>IFERROR(VLOOKUP(B12,Karyawan!$A:$L,8,FALSE),0)</x:f>
        <x:v>0</x:v>
      </x:c>
      <x:c r="G12" s="41" t="str">
        <x:f>IFERROR(VLOOKUP(B12,Karyawan!$A:$L,6,FALSE),"")</x:f>
      </x:c>
      <x:c r="H12" s="41" t="str">
        <x:f>IFERROR(VLOOKUP(B12,Karyawan!$A:$L,4,FALSE),"")</x:f>
      </x:c>
      <x:c r="I12" s="41" t="str">
        <x:f>IFERROR(VLOOKUP(B12,Karyawan!$A:$L,5,FALSE),"")</x:f>
      </x:c>
      <x:c r="J12" s="41" t="n">
        <x:f>24</x:f>
        <x:v>24</x:v>
      </x:c>
      <x:c r="K12" s="41" t="n">
        <x:f>24</x:f>
        <x:v>24</x:v>
      </x:c>
      <x:c r="L12" s="41" t="n">
        <x:f>0</x:f>
        <x:v>0</x:v>
      </x:c>
      <x:c r="M12" s="41" t="n">
        <x:f>0</x:f>
        <x:v>0</x:v>
      </x:c>
      <x:c r="N12" s="41" t="n">
        <x:f>0</x:f>
        <x:v>0</x:v>
      </x:c>
      <x:c r="O12" s="41" t="n">
        <x:f>0</x:f>
        <x:v>0</x:v>
      </x:c>
      <x:c r="P12" s="48" t="n">
        <x:f>IFERROR(VLOOKUP(G12,Golongan!$B:$E,2,FALSE),0)</x:f>
        <x:v>0</x:v>
      </x:c>
      <x:c r="Q12" s="48" t="n">
        <x:f>IFERROR(VLOOKUP(I12,Jabatan!$B:$E,3,FALSE),0)</x:f>
        <x:v>0</x:v>
      </x:c>
      <x:c r="R12" s="48" t="n">
        <x:f>IF(J12&gt;0,IF(K12&gt;=J12,IFERROR(VLOOKUP(G12,Golongan!$B:$E,4,FALSE),0),K12*IFERROR(VLOOKUP(G12,Golongan!$B:$E,3,FALSE),0)),0)</x:f>
        <x:v>0</x:v>
      </x:c>
      <x:c r="S12" s="48" t="n">
        <x:f>IFERROR(VLOOKUP(I12,Jabatan!$B:$E,4,FALSE),0)</x:f>
        <x:v>0</x:v>
      </x:c>
      <x:c r="T12" s="48" t="n">
        <x:f>F12*IFERROR(VLOOKUP("Tunjangan Masa Kerja / Tahun",Komponen!$A:$E,5,FALSE),0)</x:f>
        <x:v>0</x:v>
      </x:c>
      <x:c r="U12" s="48" t="n">
        <x:f>SUMIF(Lembur!$L$2:$L$501,A12&amp;"|"&amp;B12,Lembur!$I$2:$I$501)</x:f>
        <x:v>0</x:v>
      </x:c>
      <x:c r="V12" s="48" t="n">
        <x:f>K12*IFERROR(VLOOKUP("Uang Makan / Hari",Komponen!$A:$E,5,FALSE),0)</x:f>
        <x:v>0</x:v>
      </x:c>
      <x:c r="W12" s="48" t="n">
        <x:f>0</x:f>
        <x:v>0</x:v>
      </x:c>
      <x:c r="X12" s="48" t="n">
        <x:f>SUM(P12:W12)</x:f>
        <x:v>0</x:v>
      </x:c>
      <x:c r="Y12" s="48" t="n">
        <x:f>O12*IFERROR(VLOOKUP("Potongan Alpha",Komponen!$A:$E,5,FALSE),0)</x:f>
        <x:v>0</x:v>
      </x:c>
      <x:c r="Z12" s="48" t="n">
        <x:f>L12*IFERROR(VLOOKUP("Potongan Telat",Komponen!$A:$E,5,FALSE),0)</x:f>
        <x:v>0</x:v>
      </x:c>
      <x:c r="AA12" s="48" t="n">
        <x:f>0</x:f>
        <x:v>0</x:v>
      </x:c>
      <x:c r="AB12" s="48" t="n">
        <x:f>SUM(Y12:AA12)</x:f>
        <x:v>0</x:v>
      </x:c>
      <x:c r="AC12" s="48" t="n">
        <x:f>0</x:f>
        <x:v>0</x:v>
      </x:c>
      <x:c r="AD12" s="48" t="n">
        <x:f>X12-AB12+AC12</x:f>
        <x:v>0</x:v>
      </x:c>
      <x:c r="AE12" s="41" t="str">
        <x:f>IFERROR(VLOOKUP(B12,Karyawan!$A:$L,10,FALSE),"")</x:f>
      </x:c>
      <x:c r="AF12" s="41" t="str">
        <x:f>IF(AD12&lt;=0,"Cek gaji bersih",IF(P12&lt;=0,"Cek gaji pokok",IF(H12="","Cek jabatan",IF(G12="","Cek golongan","OK"))))</x:f>
        <x:v>Cek gaji bersih</x:v>
      </x:c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1" t="n">
        <x:f>B13</x:f>
        <x:v>0</x:v>
      </x:c>
      <x:c r="D13" s="41" t="str">
        <x:f>IFERROR(VLOOKUP(B13,Karyawan!$A:$L,2,FALSE),"")</x:f>
      </x:c>
      <x:c r="E13" s="41" t="str">
        <x:f>IFERROR(VLOOKUP(B13,Karyawan!$A:$L,3,FALSE),"")</x:f>
      </x:c>
      <x:c r="F13" s="41" t="n">
        <x:f>IFERROR(VLOOKUP(B13,Karyawan!$A:$L,8,FALSE),0)</x:f>
        <x:v>0</x:v>
      </x:c>
      <x:c r="G13" s="41" t="str">
        <x:f>IFERROR(VLOOKUP(B13,Karyawan!$A:$L,6,FALSE),"")</x:f>
      </x:c>
      <x:c r="H13" s="41" t="str">
        <x:f>IFERROR(VLOOKUP(B13,Karyawan!$A:$L,4,FALSE),"")</x:f>
      </x:c>
      <x:c r="I13" s="41" t="str">
        <x:f>IFERROR(VLOOKUP(B13,Karyawan!$A:$L,5,FALSE),"")</x:f>
      </x:c>
      <x:c r="J13" s="41" t="n">
        <x:f>24</x:f>
        <x:v>24</x:v>
      </x:c>
      <x:c r="K13" s="41" t="n">
        <x:f>24</x:f>
        <x:v>24</x:v>
      </x:c>
      <x:c r="L13" s="41" t="n">
        <x:f>0</x:f>
        <x:v>0</x:v>
      </x:c>
      <x:c r="M13" s="41" t="n">
        <x:f>0</x:f>
        <x:v>0</x:v>
      </x:c>
      <x:c r="N13" s="41" t="n">
        <x:f>0</x:f>
        <x:v>0</x:v>
      </x:c>
      <x:c r="O13" s="41" t="n">
        <x:f>0</x:f>
        <x:v>0</x:v>
      </x:c>
      <x:c r="P13" s="48" t="n">
        <x:f>IFERROR(VLOOKUP(G13,Golongan!$B:$E,2,FALSE),0)</x:f>
        <x:v>0</x:v>
      </x:c>
      <x:c r="Q13" s="48" t="n">
        <x:f>IFERROR(VLOOKUP(I13,Jabatan!$B:$E,3,FALSE),0)</x:f>
        <x:v>0</x:v>
      </x:c>
      <x:c r="R13" s="48" t="n">
        <x:f>IF(J13&gt;0,IF(K13&gt;=J13,IFERROR(VLOOKUP(G13,Golongan!$B:$E,4,FALSE),0),K13*IFERROR(VLOOKUP(G13,Golongan!$B:$E,3,FALSE),0)),0)</x:f>
        <x:v>0</x:v>
      </x:c>
      <x:c r="S13" s="48" t="n">
        <x:f>IFERROR(VLOOKUP(I13,Jabatan!$B:$E,4,FALSE),0)</x:f>
        <x:v>0</x:v>
      </x:c>
      <x:c r="T13" s="48" t="n">
        <x:f>F13*IFERROR(VLOOKUP("Tunjangan Masa Kerja / Tahun",Komponen!$A:$E,5,FALSE),0)</x:f>
        <x:v>0</x:v>
      </x:c>
      <x:c r="U13" s="48" t="n">
        <x:f>SUMIF(Lembur!$L$2:$L$501,A13&amp;"|"&amp;B13,Lembur!$I$2:$I$501)</x:f>
        <x:v>0</x:v>
      </x:c>
      <x:c r="V13" s="48" t="n">
        <x:f>K13*IFERROR(VLOOKUP("Uang Makan / Hari",Komponen!$A:$E,5,FALSE),0)</x:f>
        <x:v>0</x:v>
      </x:c>
      <x:c r="W13" s="48" t="n">
        <x:f>0</x:f>
        <x:v>0</x:v>
      </x:c>
      <x:c r="X13" s="48" t="n">
        <x:f>SUM(P13:W13)</x:f>
        <x:v>0</x:v>
      </x:c>
      <x:c r="Y13" s="48" t="n">
        <x:f>O13*IFERROR(VLOOKUP("Potongan Alpha",Komponen!$A:$E,5,FALSE),0)</x:f>
        <x:v>0</x:v>
      </x:c>
      <x:c r="Z13" s="48" t="n">
        <x:f>L13*IFERROR(VLOOKUP("Potongan Telat",Komponen!$A:$E,5,FALSE),0)</x:f>
        <x:v>0</x:v>
      </x:c>
      <x:c r="AA13" s="48" t="n">
        <x:f>0</x:f>
        <x:v>0</x:v>
      </x:c>
      <x:c r="AB13" s="48" t="n">
        <x:f>SUM(Y13:AA13)</x:f>
        <x:v>0</x:v>
      </x:c>
      <x:c r="AC13" s="48" t="n">
        <x:f>0</x:f>
        <x:v>0</x:v>
      </x:c>
      <x:c r="AD13" s="48" t="n">
        <x:f>X13-AB13+AC13</x:f>
        <x:v>0</x:v>
      </x:c>
      <x:c r="AE13" s="41" t="str">
        <x:f>IFERROR(VLOOKUP(B13,Karyawan!$A:$L,10,FALSE),"")</x:f>
      </x:c>
      <x:c r="AF13" s="41" t="str">
        <x:f>IF(AD13&lt;=0,"Cek gaji bersih",IF(P13&lt;=0,"Cek gaji pokok",IF(H13="","Cek jabatan",IF(G13="","Cek golongan","OK"))))</x:f>
        <x:v>Cek gaji bersih</x:v>
      </x:c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1" t="n">
        <x:f>B14</x:f>
        <x:v>0</x:v>
      </x:c>
      <x:c r="D14" s="41" t="str">
        <x:f>IFERROR(VLOOKUP(B14,Karyawan!$A:$L,2,FALSE),"")</x:f>
      </x:c>
      <x:c r="E14" s="41" t="str">
        <x:f>IFERROR(VLOOKUP(B14,Karyawan!$A:$L,3,FALSE),"")</x:f>
      </x:c>
      <x:c r="F14" s="41" t="n">
        <x:f>IFERROR(VLOOKUP(B14,Karyawan!$A:$L,8,FALSE),0)</x:f>
        <x:v>0</x:v>
      </x:c>
      <x:c r="G14" s="41" t="str">
        <x:f>IFERROR(VLOOKUP(B14,Karyawan!$A:$L,6,FALSE),"")</x:f>
      </x:c>
      <x:c r="H14" s="41" t="str">
        <x:f>IFERROR(VLOOKUP(B14,Karyawan!$A:$L,4,FALSE),"")</x:f>
      </x:c>
      <x:c r="I14" s="41" t="str">
        <x:f>IFERROR(VLOOKUP(B14,Karyawan!$A:$L,5,FALSE),"")</x:f>
      </x:c>
      <x:c r="J14" s="41" t="n">
        <x:f>24</x:f>
        <x:v>24</x:v>
      </x:c>
      <x:c r="K14" s="41" t="n">
        <x:f>24</x:f>
        <x:v>24</x:v>
      </x:c>
      <x:c r="L14" s="41" t="n">
        <x:f>0</x:f>
        <x:v>0</x:v>
      </x:c>
      <x:c r="M14" s="41" t="n">
        <x:f>0</x:f>
        <x:v>0</x:v>
      </x:c>
      <x:c r="N14" s="41" t="n">
        <x:f>0</x:f>
        <x:v>0</x:v>
      </x:c>
      <x:c r="O14" s="41" t="n">
        <x:f>0</x:f>
        <x:v>0</x:v>
      </x:c>
      <x:c r="P14" s="48" t="n">
        <x:f>IFERROR(VLOOKUP(G14,Golongan!$B:$E,2,FALSE),0)</x:f>
        <x:v>0</x:v>
      </x:c>
      <x:c r="Q14" s="48" t="n">
        <x:f>IFERROR(VLOOKUP(I14,Jabatan!$B:$E,3,FALSE),0)</x:f>
        <x:v>0</x:v>
      </x:c>
      <x:c r="R14" s="48" t="n">
        <x:f>IF(J14&gt;0,IF(K14&gt;=J14,IFERROR(VLOOKUP(G14,Golongan!$B:$E,4,FALSE),0),K14*IFERROR(VLOOKUP(G14,Golongan!$B:$E,3,FALSE),0)),0)</x:f>
        <x:v>0</x:v>
      </x:c>
      <x:c r="S14" s="48" t="n">
        <x:f>IFERROR(VLOOKUP(I14,Jabatan!$B:$E,4,FALSE),0)</x:f>
        <x:v>0</x:v>
      </x:c>
      <x:c r="T14" s="48" t="n">
        <x:f>F14*IFERROR(VLOOKUP("Tunjangan Masa Kerja / Tahun",Komponen!$A:$E,5,FALSE),0)</x:f>
        <x:v>0</x:v>
      </x:c>
      <x:c r="U14" s="48" t="n">
        <x:f>SUMIF(Lembur!$L$2:$L$501,A14&amp;"|"&amp;B14,Lembur!$I$2:$I$501)</x:f>
        <x:v>0</x:v>
      </x:c>
      <x:c r="V14" s="48" t="n">
        <x:f>K14*IFERROR(VLOOKUP("Uang Makan / Hari",Komponen!$A:$E,5,FALSE),0)</x:f>
        <x:v>0</x:v>
      </x:c>
      <x:c r="W14" s="48" t="n">
        <x:f>0</x:f>
        <x:v>0</x:v>
      </x:c>
      <x:c r="X14" s="48" t="n">
        <x:f>SUM(P14:W14)</x:f>
        <x:v>0</x:v>
      </x:c>
      <x:c r="Y14" s="48" t="n">
        <x:f>O14*IFERROR(VLOOKUP("Potongan Alpha",Komponen!$A:$E,5,FALSE),0)</x:f>
        <x:v>0</x:v>
      </x:c>
      <x:c r="Z14" s="48" t="n">
        <x:f>L14*IFERROR(VLOOKUP("Potongan Telat",Komponen!$A:$E,5,FALSE),0)</x:f>
        <x:v>0</x:v>
      </x:c>
      <x:c r="AA14" s="48" t="n">
        <x:f>0</x:f>
        <x:v>0</x:v>
      </x:c>
      <x:c r="AB14" s="48" t="n">
        <x:f>SUM(Y14:AA14)</x:f>
        <x:v>0</x:v>
      </x:c>
      <x:c r="AC14" s="48" t="n">
        <x:f>0</x:f>
        <x:v>0</x:v>
      </x:c>
      <x:c r="AD14" s="48" t="n">
        <x:f>X14-AB14+AC14</x:f>
        <x:v>0</x:v>
      </x:c>
      <x:c r="AE14" s="41" t="str">
        <x:f>IFERROR(VLOOKUP(B14,Karyawan!$A:$L,10,FALSE),"")</x:f>
      </x:c>
      <x:c r="AF14" s="41" t="str">
        <x:f>IF(AD14&lt;=0,"Cek gaji bersih",IF(P14&lt;=0,"Cek gaji pokok",IF(H14="","Cek jabatan",IF(G14="","Cek golongan","OK"))))</x:f>
        <x:v>Cek gaji bersih</x:v>
      </x:c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1" t="n">
        <x:f>B15</x:f>
        <x:v>0</x:v>
      </x:c>
      <x:c r="D15" s="41" t="str">
        <x:f>IFERROR(VLOOKUP(B15,Karyawan!$A:$L,2,FALSE),"")</x:f>
      </x:c>
      <x:c r="E15" s="41" t="str">
        <x:f>IFERROR(VLOOKUP(B15,Karyawan!$A:$L,3,FALSE),"")</x:f>
      </x:c>
      <x:c r="F15" s="41" t="n">
        <x:f>IFERROR(VLOOKUP(B15,Karyawan!$A:$L,8,FALSE),0)</x:f>
        <x:v>0</x:v>
      </x:c>
      <x:c r="G15" s="41" t="str">
        <x:f>IFERROR(VLOOKUP(B15,Karyawan!$A:$L,6,FALSE),"")</x:f>
      </x:c>
      <x:c r="H15" s="41" t="str">
        <x:f>IFERROR(VLOOKUP(B15,Karyawan!$A:$L,4,FALSE),"")</x:f>
      </x:c>
      <x:c r="I15" s="41" t="str">
        <x:f>IFERROR(VLOOKUP(B15,Karyawan!$A:$L,5,FALSE),"")</x:f>
      </x:c>
      <x:c r="J15" s="41" t="n">
        <x:f>24</x:f>
        <x:v>24</x:v>
      </x:c>
      <x:c r="K15" s="41" t="n">
        <x:f>24</x:f>
        <x:v>24</x:v>
      </x:c>
      <x:c r="L15" s="41" t="n">
        <x:f>0</x:f>
        <x:v>0</x:v>
      </x:c>
      <x:c r="M15" s="41" t="n">
        <x:f>0</x:f>
        <x:v>0</x:v>
      </x:c>
      <x:c r="N15" s="41" t="n">
        <x:f>0</x:f>
        <x:v>0</x:v>
      </x:c>
      <x:c r="O15" s="41" t="n">
        <x:f>0</x:f>
        <x:v>0</x:v>
      </x:c>
      <x:c r="P15" s="48" t="n">
        <x:f>IFERROR(VLOOKUP(G15,Golongan!$B:$E,2,FALSE),0)</x:f>
        <x:v>0</x:v>
      </x:c>
      <x:c r="Q15" s="48" t="n">
        <x:f>IFERROR(VLOOKUP(I15,Jabatan!$B:$E,3,FALSE),0)</x:f>
        <x:v>0</x:v>
      </x:c>
      <x:c r="R15" s="48" t="n">
        <x:f>IF(J15&gt;0,IF(K15&gt;=J15,IFERROR(VLOOKUP(G15,Golongan!$B:$E,4,FALSE),0),K15*IFERROR(VLOOKUP(G15,Golongan!$B:$E,3,FALSE),0)),0)</x:f>
        <x:v>0</x:v>
      </x:c>
      <x:c r="S15" s="48" t="n">
        <x:f>IFERROR(VLOOKUP(I15,Jabatan!$B:$E,4,FALSE),0)</x:f>
        <x:v>0</x:v>
      </x:c>
      <x:c r="T15" s="48" t="n">
        <x:f>F15*IFERROR(VLOOKUP("Tunjangan Masa Kerja / Tahun",Komponen!$A:$E,5,FALSE),0)</x:f>
        <x:v>0</x:v>
      </x:c>
      <x:c r="U15" s="48" t="n">
        <x:f>SUMIF(Lembur!$L$2:$L$501,A15&amp;"|"&amp;B15,Lembur!$I$2:$I$501)</x:f>
        <x:v>0</x:v>
      </x:c>
      <x:c r="V15" s="48" t="n">
        <x:f>K15*IFERROR(VLOOKUP("Uang Makan / Hari",Komponen!$A:$E,5,FALSE),0)</x:f>
        <x:v>0</x:v>
      </x:c>
      <x:c r="W15" s="48" t="n">
        <x:f>0</x:f>
        <x:v>0</x:v>
      </x:c>
      <x:c r="X15" s="48" t="n">
        <x:f>SUM(P15:W15)</x:f>
        <x:v>0</x:v>
      </x:c>
      <x:c r="Y15" s="48" t="n">
        <x:f>O15*IFERROR(VLOOKUP("Potongan Alpha",Komponen!$A:$E,5,FALSE),0)</x:f>
        <x:v>0</x:v>
      </x:c>
      <x:c r="Z15" s="48" t="n">
        <x:f>L15*IFERROR(VLOOKUP("Potongan Telat",Komponen!$A:$E,5,FALSE),0)</x:f>
        <x:v>0</x:v>
      </x:c>
      <x:c r="AA15" s="48" t="n">
        <x:f>0</x:f>
        <x:v>0</x:v>
      </x:c>
      <x:c r="AB15" s="48" t="n">
        <x:f>SUM(Y15:AA15)</x:f>
        <x:v>0</x:v>
      </x:c>
      <x:c r="AC15" s="48" t="n">
        <x:f>0</x:f>
        <x:v>0</x:v>
      </x:c>
      <x:c r="AD15" s="48" t="n">
        <x:f>X15-AB15+AC15</x:f>
        <x:v>0</x:v>
      </x:c>
      <x:c r="AE15" s="41" t="str">
        <x:f>IFERROR(VLOOKUP(B15,Karyawan!$A:$L,10,FALSE),"")</x:f>
      </x:c>
      <x:c r="AF15" s="41" t="str">
        <x:f>IF(AD15&lt;=0,"Cek gaji bersih",IF(P15&lt;=0,"Cek gaji pokok",IF(H15="","Cek jabatan",IF(G15="","Cek golongan","OK"))))</x:f>
        <x:v>Cek gaji bersih</x:v>
      </x:c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1" t="n">
        <x:f>B16</x:f>
        <x:v>0</x:v>
      </x:c>
      <x:c r="D16" s="41" t="str">
        <x:f>IFERROR(VLOOKUP(B16,Karyawan!$A:$L,2,FALSE),"")</x:f>
      </x:c>
      <x:c r="E16" s="41" t="str">
        <x:f>IFERROR(VLOOKUP(B16,Karyawan!$A:$L,3,FALSE),"")</x:f>
      </x:c>
      <x:c r="F16" s="41" t="n">
        <x:f>IFERROR(VLOOKUP(B16,Karyawan!$A:$L,8,FALSE),0)</x:f>
        <x:v>0</x:v>
      </x:c>
      <x:c r="G16" s="41" t="str">
        <x:f>IFERROR(VLOOKUP(B16,Karyawan!$A:$L,6,FALSE),"")</x:f>
      </x:c>
      <x:c r="H16" s="41" t="str">
        <x:f>IFERROR(VLOOKUP(B16,Karyawan!$A:$L,4,FALSE),"")</x:f>
      </x:c>
      <x:c r="I16" s="41" t="str">
        <x:f>IFERROR(VLOOKUP(B16,Karyawan!$A:$L,5,FALSE),"")</x:f>
      </x:c>
      <x:c r="J16" s="41" t="n">
        <x:f>24</x:f>
        <x:v>24</x:v>
      </x:c>
      <x:c r="K16" s="41" t="n">
        <x:f>24</x:f>
        <x:v>24</x:v>
      </x:c>
      <x:c r="L16" s="41" t="n">
        <x:f>0</x:f>
        <x:v>0</x:v>
      </x:c>
      <x:c r="M16" s="41" t="n">
        <x:f>0</x:f>
        <x:v>0</x:v>
      </x:c>
      <x:c r="N16" s="41" t="n">
        <x:f>0</x:f>
        <x:v>0</x:v>
      </x:c>
      <x:c r="O16" s="41" t="n">
        <x:f>0</x:f>
        <x:v>0</x:v>
      </x:c>
      <x:c r="P16" s="48" t="n">
        <x:f>IFERROR(VLOOKUP(G16,Golongan!$B:$E,2,FALSE),0)</x:f>
        <x:v>0</x:v>
      </x:c>
      <x:c r="Q16" s="48" t="n">
        <x:f>IFERROR(VLOOKUP(I16,Jabatan!$B:$E,3,FALSE),0)</x:f>
        <x:v>0</x:v>
      </x:c>
      <x:c r="R16" s="48" t="n">
        <x:f>IF(J16&gt;0,IF(K16&gt;=J16,IFERROR(VLOOKUP(G16,Golongan!$B:$E,4,FALSE),0),K16*IFERROR(VLOOKUP(G16,Golongan!$B:$E,3,FALSE),0)),0)</x:f>
        <x:v>0</x:v>
      </x:c>
      <x:c r="S16" s="48" t="n">
        <x:f>IFERROR(VLOOKUP(I16,Jabatan!$B:$E,4,FALSE),0)</x:f>
        <x:v>0</x:v>
      </x:c>
      <x:c r="T16" s="48" t="n">
        <x:f>F16*IFERROR(VLOOKUP("Tunjangan Masa Kerja / Tahun",Komponen!$A:$E,5,FALSE),0)</x:f>
        <x:v>0</x:v>
      </x:c>
      <x:c r="U16" s="48" t="n">
        <x:f>SUMIF(Lembur!$L$2:$L$501,A16&amp;"|"&amp;B16,Lembur!$I$2:$I$501)</x:f>
        <x:v>0</x:v>
      </x:c>
      <x:c r="V16" s="48" t="n">
        <x:f>K16*IFERROR(VLOOKUP("Uang Makan / Hari",Komponen!$A:$E,5,FALSE),0)</x:f>
        <x:v>0</x:v>
      </x:c>
      <x:c r="W16" s="48" t="n">
        <x:f>0</x:f>
        <x:v>0</x:v>
      </x:c>
      <x:c r="X16" s="48" t="n">
        <x:f>SUM(P16:W16)</x:f>
        <x:v>0</x:v>
      </x:c>
      <x:c r="Y16" s="48" t="n">
        <x:f>O16*IFERROR(VLOOKUP("Potongan Alpha",Komponen!$A:$E,5,FALSE),0)</x:f>
        <x:v>0</x:v>
      </x:c>
      <x:c r="Z16" s="48" t="n">
        <x:f>L16*IFERROR(VLOOKUP("Potongan Telat",Komponen!$A:$E,5,FALSE),0)</x:f>
        <x:v>0</x:v>
      </x:c>
      <x:c r="AA16" s="48" t="n">
        <x:f>0</x:f>
        <x:v>0</x:v>
      </x:c>
      <x:c r="AB16" s="48" t="n">
        <x:f>SUM(Y16:AA16)</x:f>
        <x:v>0</x:v>
      </x:c>
      <x:c r="AC16" s="48" t="n">
        <x:f>0</x:f>
        <x:v>0</x:v>
      </x:c>
      <x:c r="AD16" s="48" t="n">
        <x:f>X16-AB16+AC16</x:f>
        <x:v>0</x:v>
      </x:c>
      <x:c r="AE16" s="41" t="str">
        <x:f>IFERROR(VLOOKUP(B16,Karyawan!$A:$L,10,FALSE),"")</x:f>
      </x:c>
      <x:c r="AF16" s="41" t="str">
        <x:f>IF(AD16&lt;=0,"Cek gaji bersih",IF(P16&lt;=0,"Cek gaji pokok",IF(H16="","Cek jabatan",IF(G16="","Cek golongan","OK"))))</x:f>
        <x:v>Cek gaji bersih</x:v>
      </x:c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 t="n">
        <x:f>B17</x:f>
        <x:v>0</x:v>
      </x:c>
      <x:c r="D17" s="41" t="str">
        <x:f>IFERROR(VLOOKUP(B17,Karyawan!$A:$L,2,FALSE),"")</x:f>
      </x:c>
      <x:c r="E17" s="41" t="str">
        <x:f>IFERROR(VLOOKUP(B17,Karyawan!$A:$L,3,FALSE),"")</x:f>
      </x:c>
      <x:c r="F17" s="41" t="n">
        <x:f>IFERROR(VLOOKUP(B17,Karyawan!$A:$L,8,FALSE),0)</x:f>
        <x:v>0</x:v>
      </x:c>
      <x:c r="G17" s="41" t="str">
        <x:f>IFERROR(VLOOKUP(B17,Karyawan!$A:$L,6,FALSE),"")</x:f>
      </x:c>
      <x:c r="H17" s="41" t="str">
        <x:f>IFERROR(VLOOKUP(B17,Karyawan!$A:$L,4,FALSE),"")</x:f>
      </x:c>
      <x:c r="I17" s="41" t="str">
        <x:f>IFERROR(VLOOKUP(B17,Karyawan!$A:$L,5,FALSE),"")</x:f>
      </x:c>
      <x:c r="J17" s="41" t="n">
        <x:f>24</x:f>
        <x:v>24</x:v>
      </x:c>
      <x:c r="K17" s="41" t="n">
        <x:f>24</x:f>
        <x:v>24</x:v>
      </x:c>
      <x:c r="L17" s="41" t="n">
        <x:f>0</x:f>
        <x:v>0</x:v>
      </x:c>
      <x:c r="M17" s="41" t="n">
        <x:f>0</x:f>
        <x:v>0</x:v>
      </x:c>
      <x:c r="N17" s="41" t="n">
        <x:f>0</x:f>
        <x:v>0</x:v>
      </x:c>
      <x:c r="O17" s="41" t="n">
        <x:f>0</x:f>
        <x:v>0</x:v>
      </x:c>
      <x:c r="P17" s="48" t="n">
        <x:f>IFERROR(VLOOKUP(G17,Golongan!$B:$E,2,FALSE),0)</x:f>
        <x:v>0</x:v>
      </x:c>
      <x:c r="Q17" s="48" t="n">
        <x:f>IFERROR(VLOOKUP(I17,Jabatan!$B:$E,3,FALSE),0)</x:f>
        <x:v>0</x:v>
      </x:c>
      <x:c r="R17" s="48" t="n">
        <x:f>IF(J17&gt;0,IF(K17&gt;=J17,IFERROR(VLOOKUP(G17,Golongan!$B:$E,4,FALSE),0),K17*IFERROR(VLOOKUP(G17,Golongan!$B:$E,3,FALSE),0)),0)</x:f>
        <x:v>0</x:v>
      </x:c>
      <x:c r="S17" s="48" t="n">
        <x:f>IFERROR(VLOOKUP(I17,Jabatan!$B:$E,4,FALSE),0)</x:f>
        <x:v>0</x:v>
      </x:c>
      <x:c r="T17" s="48" t="n">
        <x:f>F17*IFERROR(VLOOKUP("Tunjangan Masa Kerja / Tahun",Komponen!$A:$E,5,FALSE),0)</x:f>
        <x:v>0</x:v>
      </x:c>
      <x:c r="U17" s="48" t="n">
        <x:f>SUMIF(Lembur!$L$2:$L$501,A17&amp;"|"&amp;B17,Lembur!$I$2:$I$501)</x:f>
        <x:v>0</x:v>
      </x:c>
      <x:c r="V17" s="48" t="n">
        <x:f>K17*IFERROR(VLOOKUP("Uang Makan / Hari",Komponen!$A:$E,5,FALSE),0)</x:f>
        <x:v>0</x:v>
      </x:c>
      <x:c r="W17" s="48" t="n">
        <x:f>0</x:f>
        <x:v>0</x:v>
      </x:c>
      <x:c r="X17" s="48" t="n">
        <x:f>SUM(P17:W17)</x:f>
        <x:v>0</x:v>
      </x:c>
      <x:c r="Y17" s="48" t="n">
        <x:f>O17*IFERROR(VLOOKUP("Potongan Alpha",Komponen!$A:$E,5,FALSE),0)</x:f>
        <x:v>0</x:v>
      </x:c>
      <x:c r="Z17" s="48" t="n">
        <x:f>L17*IFERROR(VLOOKUP("Potongan Telat",Komponen!$A:$E,5,FALSE),0)</x:f>
        <x:v>0</x:v>
      </x:c>
      <x:c r="AA17" s="48" t="n">
        <x:f>0</x:f>
        <x:v>0</x:v>
      </x:c>
      <x:c r="AB17" s="48" t="n">
        <x:f>SUM(Y17:AA17)</x:f>
        <x:v>0</x:v>
      </x:c>
      <x:c r="AC17" s="48" t="n">
        <x:f>0</x:f>
        <x:v>0</x:v>
      </x:c>
      <x:c r="AD17" s="48" t="n">
        <x:f>X17-AB17+AC17</x:f>
        <x:v>0</x:v>
      </x:c>
      <x:c r="AE17" s="41" t="str">
        <x:f>IFERROR(VLOOKUP(B17,Karyawan!$A:$L,10,FALSE),"")</x:f>
      </x:c>
      <x:c r="AF17" s="41" t="str">
        <x:f>IF(AD17&lt;=0,"Cek gaji bersih",IF(P17&lt;=0,"Cek gaji pokok",IF(H17="","Cek jabatan",IF(G17="","Cek golongan","OK"))))</x:f>
        <x:v>Cek gaji bersih</x:v>
      </x:c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 t="n">
        <x:f>B18</x:f>
        <x:v>0</x:v>
      </x:c>
      <x:c r="D18" s="41" t="str">
        <x:f>IFERROR(VLOOKUP(B18,Karyawan!$A:$L,2,FALSE),"")</x:f>
      </x:c>
      <x:c r="E18" s="41" t="str">
        <x:f>IFERROR(VLOOKUP(B18,Karyawan!$A:$L,3,FALSE),"")</x:f>
      </x:c>
      <x:c r="F18" s="41" t="n">
        <x:f>IFERROR(VLOOKUP(B18,Karyawan!$A:$L,8,FALSE),0)</x:f>
        <x:v>0</x:v>
      </x:c>
      <x:c r="G18" s="41" t="str">
        <x:f>IFERROR(VLOOKUP(B18,Karyawan!$A:$L,6,FALSE),"")</x:f>
      </x:c>
      <x:c r="H18" s="41" t="str">
        <x:f>IFERROR(VLOOKUP(B18,Karyawan!$A:$L,4,FALSE),"")</x:f>
      </x:c>
      <x:c r="I18" s="41" t="str">
        <x:f>IFERROR(VLOOKUP(B18,Karyawan!$A:$L,5,FALSE),"")</x:f>
      </x:c>
      <x:c r="J18" s="41" t="n">
        <x:f>24</x:f>
        <x:v>24</x:v>
      </x:c>
      <x:c r="K18" s="41" t="n">
        <x:f>24</x:f>
        <x:v>24</x:v>
      </x:c>
      <x:c r="L18" s="41" t="n">
        <x:f>0</x:f>
        <x:v>0</x:v>
      </x:c>
      <x:c r="M18" s="41" t="n">
        <x:f>0</x:f>
        <x:v>0</x:v>
      </x:c>
      <x:c r="N18" s="41" t="n">
        <x:f>0</x:f>
        <x:v>0</x:v>
      </x:c>
      <x:c r="O18" s="41" t="n">
        <x:f>0</x:f>
        <x:v>0</x:v>
      </x:c>
      <x:c r="P18" s="48" t="n">
        <x:f>IFERROR(VLOOKUP(G18,Golongan!$B:$E,2,FALSE),0)</x:f>
        <x:v>0</x:v>
      </x:c>
      <x:c r="Q18" s="48" t="n">
        <x:f>IFERROR(VLOOKUP(I18,Jabatan!$B:$E,3,FALSE),0)</x:f>
        <x:v>0</x:v>
      </x:c>
      <x:c r="R18" s="48" t="n">
        <x:f>IF(J18&gt;0,IF(K18&gt;=J18,IFERROR(VLOOKUP(G18,Golongan!$B:$E,4,FALSE),0),K18*IFERROR(VLOOKUP(G18,Golongan!$B:$E,3,FALSE),0)),0)</x:f>
        <x:v>0</x:v>
      </x:c>
      <x:c r="S18" s="48" t="n">
        <x:f>IFERROR(VLOOKUP(I18,Jabatan!$B:$E,4,FALSE),0)</x:f>
        <x:v>0</x:v>
      </x:c>
      <x:c r="T18" s="48" t="n">
        <x:f>F18*IFERROR(VLOOKUP("Tunjangan Masa Kerja / Tahun",Komponen!$A:$E,5,FALSE),0)</x:f>
        <x:v>0</x:v>
      </x:c>
      <x:c r="U18" s="48" t="n">
        <x:f>SUMIF(Lembur!$L$2:$L$501,A18&amp;"|"&amp;B18,Lembur!$I$2:$I$501)</x:f>
        <x:v>0</x:v>
      </x:c>
      <x:c r="V18" s="48" t="n">
        <x:f>K18*IFERROR(VLOOKUP("Uang Makan / Hari",Komponen!$A:$E,5,FALSE),0)</x:f>
        <x:v>0</x:v>
      </x:c>
      <x:c r="W18" s="48" t="n">
        <x:f>0</x:f>
        <x:v>0</x:v>
      </x:c>
      <x:c r="X18" s="48" t="n">
        <x:f>SUM(P18:W18)</x:f>
        <x:v>0</x:v>
      </x:c>
      <x:c r="Y18" s="48" t="n">
        <x:f>O18*IFERROR(VLOOKUP("Potongan Alpha",Komponen!$A:$E,5,FALSE),0)</x:f>
        <x:v>0</x:v>
      </x:c>
      <x:c r="Z18" s="48" t="n">
        <x:f>L18*IFERROR(VLOOKUP("Potongan Telat",Komponen!$A:$E,5,FALSE),0)</x:f>
        <x:v>0</x:v>
      </x:c>
      <x:c r="AA18" s="48" t="n">
        <x:f>0</x:f>
        <x:v>0</x:v>
      </x:c>
      <x:c r="AB18" s="48" t="n">
        <x:f>SUM(Y18:AA18)</x:f>
        <x:v>0</x:v>
      </x:c>
      <x:c r="AC18" s="48" t="n">
        <x:f>0</x:f>
        <x:v>0</x:v>
      </x:c>
      <x:c r="AD18" s="48" t="n">
        <x:f>X18-AB18+AC18</x:f>
        <x:v>0</x:v>
      </x:c>
      <x:c r="AE18" s="41" t="str">
        <x:f>IFERROR(VLOOKUP(B18,Karyawan!$A:$L,10,FALSE),"")</x:f>
      </x:c>
      <x:c r="AF18" s="41" t="str">
        <x:f>IF(AD18&lt;=0,"Cek gaji bersih",IF(P18&lt;=0,"Cek gaji pokok",IF(H18="","Cek jabatan",IF(G18="","Cek golongan","OK"))))</x:f>
        <x:v>Cek gaji bersih</x:v>
      </x:c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 t="n">
        <x:f>B19</x:f>
        <x:v>0</x:v>
      </x:c>
      <x:c r="D19" s="41" t="str">
        <x:f>IFERROR(VLOOKUP(B19,Karyawan!$A:$L,2,FALSE),"")</x:f>
      </x:c>
      <x:c r="E19" s="41" t="str">
        <x:f>IFERROR(VLOOKUP(B19,Karyawan!$A:$L,3,FALSE),"")</x:f>
      </x:c>
      <x:c r="F19" s="41" t="n">
        <x:f>IFERROR(VLOOKUP(B19,Karyawan!$A:$L,8,FALSE),0)</x:f>
        <x:v>0</x:v>
      </x:c>
      <x:c r="G19" s="41" t="str">
        <x:f>IFERROR(VLOOKUP(B19,Karyawan!$A:$L,6,FALSE),"")</x:f>
      </x:c>
      <x:c r="H19" s="41" t="str">
        <x:f>IFERROR(VLOOKUP(B19,Karyawan!$A:$L,4,FALSE),"")</x:f>
      </x:c>
      <x:c r="I19" s="41" t="str">
        <x:f>IFERROR(VLOOKUP(B19,Karyawan!$A:$L,5,FALSE),"")</x:f>
      </x:c>
      <x:c r="J19" s="41" t="n">
        <x:f>24</x:f>
        <x:v>24</x:v>
      </x:c>
      <x:c r="K19" s="41" t="n">
        <x:f>24</x:f>
        <x:v>24</x:v>
      </x:c>
      <x:c r="L19" s="41" t="n">
        <x:f>0</x:f>
        <x:v>0</x:v>
      </x:c>
      <x:c r="M19" s="41" t="n">
        <x:f>0</x:f>
        <x:v>0</x:v>
      </x:c>
      <x:c r="N19" s="41" t="n">
        <x:f>0</x:f>
        <x:v>0</x:v>
      </x:c>
      <x:c r="O19" s="41" t="n">
        <x:f>0</x:f>
        <x:v>0</x:v>
      </x:c>
      <x:c r="P19" s="48" t="n">
        <x:f>IFERROR(VLOOKUP(G19,Golongan!$B:$E,2,FALSE),0)</x:f>
        <x:v>0</x:v>
      </x:c>
      <x:c r="Q19" s="48" t="n">
        <x:f>IFERROR(VLOOKUP(I19,Jabatan!$B:$E,3,FALSE),0)</x:f>
        <x:v>0</x:v>
      </x:c>
      <x:c r="R19" s="48" t="n">
        <x:f>IF(J19&gt;0,IF(K19&gt;=J19,IFERROR(VLOOKUP(G19,Golongan!$B:$E,4,FALSE),0),K19*IFERROR(VLOOKUP(G19,Golongan!$B:$E,3,FALSE),0)),0)</x:f>
        <x:v>0</x:v>
      </x:c>
      <x:c r="S19" s="48" t="n">
        <x:f>IFERROR(VLOOKUP(I19,Jabatan!$B:$E,4,FALSE),0)</x:f>
        <x:v>0</x:v>
      </x:c>
      <x:c r="T19" s="48" t="n">
        <x:f>F19*IFERROR(VLOOKUP("Tunjangan Masa Kerja / Tahun",Komponen!$A:$E,5,FALSE),0)</x:f>
        <x:v>0</x:v>
      </x:c>
      <x:c r="U19" s="48" t="n">
        <x:f>SUMIF(Lembur!$L$2:$L$501,A19&amp;"|"&amp;B19,Lembur!$I$2:$I$501)</x:f>
        <x:v>0</x:v>
      </x:c>
      <x:c r="V19" s="48" t="n">
        <x:f>K19*IFERROR(VLOOKUP("Uang Makan / Hari",Komponen!$A:$E,5,FALSE),0)</x:f>
        <x:v>0</x:v>
      </x:c>
      <x:c r="W19" s="48" t="n">
        <x:f>0</x:f>
        <x:v>0</x:v>
      </x:c>
      <x:c r="X19" s="48" t="n">
        <x:f>SUM(P19:W19)</x:f>
        <x:v>0</x:v>
      </x:c>
      <x:c r="Y19" s="48" t="n">
        <x:f>O19*IFERROR(VLOOKUP("Potongan Alpha",Komponen!$A:$E,5,FALSE),0)</x:f>
        <x:v>0</x:v>
      </x:c>
      <x:c r="Z19" s="48" t="n">
        <x:f>L19*IFERROR(VLOOKUP("Potongan Telat",Komponen!$A:$E,5,FALSE),0)</x:f>
        <x:v>0</x:v>
      </x:c>
      <x:c r="AA19" s="48" t="n">
        <x:f>0</x:f>
        <x:v>0</x:v>
      </x:c>
      <x:c r="AB19" s="48" t="n">
        <x:f>SUM(Y19:AA19)</x:f>
        <x:v>0</x:v>
      </x:c>
      <x:c r="AC19" s="48" t="n">
        <x:f>0</x:f>
        <x:v>0</x:v>
      </x:c>
      <x:c r="AD19" s="48" t="n">
        <x:f>X19-AB19+AC19</x:f>
        <x:v>0</x:v>
      </x:c>
      <x:c r="AE19" s="41" t="str">
        <x:f>IFERROR(VLOOKUP(B19,Karyawan!$A:$L,10,FALSE),"")</x:f>
      </x:c>
      <x:c r="AF19" s="41" t="str">
        <x:f>IF(AD19&lt;=0,"Cek gaji bersih",IF(P19&lt;=0,"Cek gaji pokok",IF(H19="","Cek jabatan",IF(G19="","Cek golongan","OK"))))</x:f>
        <x:v>Cek gaji bersih</x:v>
      </x:c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 t="n">
        <x:f>B20</x:f>
        <x:v>0</x:v>
      </x:c>
      <x:c r="D20" s="41" t="str">
        <x:f>IFERROR(VLOOKUP(B20,Karyawan!$A:$L,2,FALSE),"")</x:f>
      </x:c>
      <x:c r="E20" s="41" t="str">
        <x:f>IFERROR(VLOOKUP(B20,Karyawan!$A:$L,3,FALSE),"")</x:f>
      </x:c>
      <x:c r="F20" s="41" t="n">
        <x:f>IFERROR(VLOOKUP(B20,Karyawan!$A:$L,8,FALSE),0)</x:f>
        <x:v>0</x:v>
      </x:c>
      <x:c r="G20" s="41" t="str">
        <x:f>IFERROR(VLOOKUP(B20,Karyawan!$A:$L,6,FALSE),"")</x:f>
      </x:c>
      <x:c r="H20" s="41" t="str">
        <x:f>IFERROR(VLOOKUP(B20,Karyawan!$A:$L,4,FALSE),"")</x:f>
      </x:c>
      <x:c r="I20" s="41" t="str">
        <x:f>IFERROR(VLOOKUP(B20,Karyawan!$A:$L,5,FALSE),"")</x:f>
      </x:c>
      <x:c r="J20" s="41" t="n">
        <x:f>24</x:f>
        <x:v>24</x:v>
      </x:c>
      <x:c r="K20" s="41" t="n">
        <x:f>24</x:f>
        <x:v>24</x:v>
      </x:c>
      <x:c r="L20" s="41" t="n">
        <x:f>0</x:f>
        <x:v>0</x:v>
      </x:c>
      <x:c r="M20" s="41" t="n">
        <x:f>0</x:f>
        <x:v>0</x:v>
      </x:c>
      <x:c r="N20" s="41" t="n">
        <x:f>0</x:f>
        <x:v>0</x:v>
      </x:c>
      <x:c r="O20" s="41" t="n">
        <x:f>0</x:f>
        <x:v>0</x:v>
      </x:c>
      <x:c r="P20" s="48" t="n">
        <x:f>IFERROR(VLOOKUP(G20,Golongan!$B:$E,2,FALSE),0)</x:f>
        <x:v>0</x:v>
      </x:c>
      <x:c r="Q20" s="48" t="n">
        <x:f>IFERROR(VLOOKUP(I20,Jabatan!$B:$E,3,FALSE),0)</x:f>
        <x:v>0</x:v>
      </x:c>
      <x:c r="R20" s="48" t="n">
        <x:f>IF(J20&gt;0,IF(K20&gt;=J20,IFERROR(VLOOKUP(G20,Golongan!$B:$E,4,FALSE),0),K20*IFERROR(VLOOKUP(G20,Golongan!$B:$E,3,FALSE),0)),0)</x:f>
        <x:v>0</x:v>
      </x:c>
      <x:c r="S20" s="48" t="n">
        <x:f>IFERROR(VLOOKUP(I20,Jabatan!$B:$E,4,FALSE),0)</x:f>
        <x:v>0</x:v>
      </x:c>
      <x:c r="T20" s="48" t="n">
        <x:f>F20*IFERROR(VLOOKUP("Tunjangan Masa Kerja / Tahun",Komponen!$A:$E,5,FALSE),0)</x:f>
        <x:v>0</x:v>
      </x:c>
      <x:c r="U20" s="48" t="n">
        <x:f>SUMIF(Lembur!$L$2:$L$501,A20&amp;"|"&amp;B20,Lembur!$I$2:$I$501)</x:f>
        <x:v>0</x:v>
      </x:c>
      <x:c r="V20" s="48" t="n">
        <x:f>K20*IFERROR(VLOOKUP("Uang Makan / Hari",Komponen!$A:$E,5,FALSE),0)</x:f>
        <x:v>0</x:v>
      </x:c>
      <x:c r="W20" s="48" t="n">
        <x:f>0</x:f>
        <x:v>0</x:v>
      </x:c>
      <x:c r="X20" s="48" t="n">
        <x:f>SUM(P20:W20)</x:f>
        <x:v>0</x:v>
      </x:c>
      <x:c r="Y20" s="48" t="n">
        <x:f>O20*IFERROR(VLOOKUP("Potongan Alpha",Komponen!$A:$E,5,FALSE),0)</x:f>
        <x:v>0</x:v>
      </x:c>
      <x:c r="Z20" s="48" t="n">
        <x:f>L20*IFERROR(VLOOKUP("Potongan Telat",Komponen!$A:$E,5,FALSE),0)</x:f>
        <x:v>0</x:v>
      </x:c>
      <x:c r="AA20" s="48" t="n">
        <x:f>0</x:f>
        <x:v>0</x:v>
      </x:c>
      <x:c r="AB20" s="48" t="n">
        <x:f>SUM(Y20:AA20)</x:f>
        <x:v>0</x:v>
      </x:c>
      <x:c r="AC20" s="48" t="n">
        <x:f>0</x:f>
        <x:v>0</x:v>
      </x:c>
      <x:c r="AD20" s="48" t="n">
        <x:f>X20-AB20+AC20</x:f>
        <x:v>0</x:v>
      </x:c>
      <x:c r="AE20" s="41" t="str">
        <x:f>IFERROR(VLOOKUP(B20,Karyawan!$A:$L,10,FALSE),"")</x:f>
      </x:c>
      <x:c r="AF20" s="41" t="str">
        <x:f>IF(AD20&lt;=0,"Cek gaji bersih",IF(P20&lt;=0,"Cek gaji pokok",IF(H20="","Cek jabatan",IF(G20="","Cek golongan","OK"))))</x:f>
        <x:v>Cek gaji bersih</x:v>
      </x:c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 t="n">
        <x:f>B21</x:f>
        <x:v>0</x:v>
      </x:c>
      <x:c r="D21" s="41" t="str">
        <x:f>IFERROR(VLOOKUP(B21,Karyawan!$A:$L,2,FALSE),"")</x:f>
      </x:c>
      <x:c r="E21" s="41" t="str">
        <x:f>IFERROR(VLOOKUP(B21,Karyawan!$A:$L,3,FALSE),"")</x:f>
      </x:c>
      <x:c r="F21" s="41" t="n">
        <x:f>IFERROR(VLOOKUP(B21,Karyawan!$A:$L,8,FALSE),0)</x:f>
        <x:v>0</x:v>
      </x:c>
      <x:c r="G21" s="41" t="str">
        <x:f>IFERROR(VLOOKUP(B21,Karyawan!$A:$L,6,FALSE),"")</x:f>
      </x:c>
      <x:c r="H21" s="41" t="str">
        <x:f>IFERROR(VLOOKUP(B21,Karyawan!$A:$L,4,FALSE),"")</x:f>
      </x:c>
      <x:c r="I21" s="41" t="str">
        <x:f>IFERROR(VLOOKUP(B21,Karyawan!$A:$L,5,FALSE),"")</x:f>
      </x:c>
      <x:c r="J21" s="41" t="n">
        <x:f>24</x:f>
        <x:v>24</x:v>
      </x:c>
      <x:c r="K21" s="41" t="n">
        <x:f>24</x:f>
        <x:v>24</x:v>
      </x:c>
      <x:c r="L21" s="41" t="n">
        <x:f>0</x:f>
        <x:v>0</x:v>
      </x:c>
      <x:c r="M21" s="41" t="n">
        <x:f>0</x:f>
        <x:v>0</x:v>
      </x:c>
      <x:c r="N21" s="41" t="n">
        <x:f>0</x:f>
        <x:v>0</x:v>
      </x:c>
      <x:c r="O21" s="41" t="n">
        <x:f>0</x:f>
        <x:v>0</x:v>
      </x:c>
      <x:c r="P21" s="48" t="n">
        <x:f>IFERROR(VLOOKUP(G21,Golongan!$B:$E,2,FALSE),0)</x:f>
        <x:v>0</x:v>
      </x:c>
      <x:c r="Q21" s="48" t="n">
        <x:f>IFERROR(VLOOKUP(I21,Jabatan!$B:$E,3,FALSE),0)</x:f>
        <x:v>0</x:v>
      </x:c>
      <x:c r="R21" s="48" t="n">
        <x:f>IF(J21&gt;0,IF(K21&gt;=J21,IFERROR(VLOOKUP(G21,Golongan!$B:$E,4,FALSE),0),K21*IFERROR(VLOOKUP(G21,Golongan!$B:$E,3,FALSE),0)),0)</x:f>
        <x:v>0</x:v>
      </x:c>
      <x:c r="S21" s="48" t="n">
        <x:f>IFERROR(VLOOKUP(I21,Jabatan!$B:$E,4,FALSE),0)</x:f>
        <x:v>0</x:v>
      </x:c>
      <x:c r="T21" s="48" t="n">
        <x:f>F21*IFERROR(VLOOKUP("Tunjangan Masa Kerja / Tahun",Komponen!$A:$E,5,FALSE),0)</x:f>
        <x:v>0</x:v>
      </x:c>
      <x:c r="U21" s="48" t="n">
        <x:f>SUMIF(Lembur!$L$2:$L$501,A21&amp;"|"&amp;B21,Lembur!$I$2:$I$501)</x:f>
        <x:v>0</x:v>
      </x:c>
      <x:c r="V21" s="48" t="n">
        <x:f>K21*IFERROR(VLOOKUP("Uang Makan / Hari",Komponen!$A:$E,5,FALSE),0)</x:f>
        <x:v>0</x:v>
      </x:c>
      <x:c r="W21" s="48" t="n">
        <x:f>0</x:f>
        <x:v>0</x:v>
      </x:c>
      <x:c r="X21" s="48" t="n">
        <x:f>SUM(P21:W21)</x:f>
        <x:v>0</x:v>
      </x:c>
      <x:c r="Y21" s="48" t="n">
        <x:f>O21*IFERROR(VLOOKUP("Potongan Alpha",Komponen!$A:$E,5,FALSE),0)</x:f>
        <x:v>0</x:v>
      </x:c>
      <x:c r="Z21" s="48" t="n">
        <x:f>L21*IFERROR(VLOOKUP("Potongan Telat",Komponen!$A:$E,5,FALSE),0)</x:f>
        <x:v>0</x:v>
      </x:c>
      <x:c r="AA21" s="48" t="n">
        <x:f>0</x:f>
        <x:v>0</x:v>
      </x:c>
      <x:c r="AB21" s="48" t="n">
        <x:f>SUM(Y21:AA21)</x:f>
        <x:v>0</x:v>
      </x:c>
      <x:c r="AC21" s="48" t="n">
        <x:f>0</x:f>
        <x:v>0</x:v>
      </x:c>
      <x:c r="AD21" s="48" t="n">
        <x:f>X21-AB21+AC21</x:f>
        <x:v>0</x:v>
      </x:c>
      <x:c r="AE21" s="41" t="str">
        <x:f>IFERROR(VLOOKUP(B21,Karyawan!$A:$L,10,FALSE),"")</x:f>
      </x:c>
      <x:c r="AF21" s="41" t="str">
        <x:f>IF(AD21&lt;=0,"Cek gaji bersih",IF(P21&lt;=0,"Cek gaji pokok",IF(H21="","Cek jabatan",IF(G21="","Cek golongan","OK"))))</x:f>
        <x:v>Cek gaji bersih</x:v>
      </x:c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 t="n">
        <x:f>B22</x:f>
        <x:v>0</x:v>
      </x:c>
      <x:c r="D22" s="41" t="str">
        <x:f>IFERROR(VLOOKUP(B22,Karyawan!$A:$L,2,FALSE),"")</x:f>
      </x:c>
      <x:c r="E22" s="41" t="str">
        <x:f>IFERROR(VLOOKUP(B22,Karyawan!$A:$L,3,FALSE),"")</x:f>
      </x:c>
      <x:c r="F22" s="41" t="n">
        <x:f>IFERROR(VLOOKUP(B22,Karyawan!$A:$L,8,FALSE),0)</x:f>
        <x:v>0</x:v>
      </x:c>
      <x:c r="G22" s="41" t="str">
        <x:f>IFERROR(VLOOKUP(B22,Karyawan!$A:$L,6,FALSE),"")</x:f>
      </x:c>
      <x:c r="H22" s="41" t="str">
        <x:f>IFERROR(VLOOKUP(B22,Karyawan!$A:$L,4,FALSE),"")</x:f>
      </x:c>
      <x:c r="I22" s="41" t="str">
        <x:f>IFERROR(VLOOKUP(B22,Karyawan!$A:$L,5,FALSE),"")</x:f>
      </x:c>
      <x:c r="J22" s="41" t="n">
        <x:f>24</x:f>
        <x:v>24</x:v>
      </x:c>
      <x:c r="K22" s="41" t="n">
        <x:f>24</x:f>
        <x:v>24</x:v>
      </x:c>
      <x:c r="L22" s="41" t="n">
        <x:f>0</x:f>
        <x:v>0</x:v>
      </x:c>
      <x:c r="M22" s="41" t="n">
        <x:f>0</x:f>
        <x:v>0</x:v>
      </x:c>
      <x:c r="N22" s="41" t="n">
        <x:f>0</x:f>
        <x:v>0</x:v>
      </x:c>
      <x:c r="O22" s="41" t="n">
        <x:f>0</x:f>
        <x:v>0</x:v>
      </x:c>
      <x:c r="P22" s="48" t="n">
        <x:f>IFERROR(VLOOKUP(G22,Golongan!$B:$E,2,FALSE),0)</x:f>
        <x:v>0</x:v>
      </x:c>
      <x:c r="Q22" s="48" t="n">
        <x:f>IFERROR(VLOOKUP(I22,Jabatan!$B:$E,3,FALSE),0)</x:f>
        <x:v>0</x:v>
      </x:c>
      <x:c r="R22" s="48" t="n">
        <x:f>IF(J22&gt;0,IF(K22&gt;=J22,IFERROR(VLOOKUP(G22,Golongan!$B:$E,4,FALSE),0),K22*IFERROR(VLOOKUP(G22,Golongan!$B:$E,3,FALSE),0)),0)</x:f>
        <x:v>0</x:v>
      </x:c>
      <x:c r="S22" s="48" t="n">
        <x:f>IFERROR(VLOOKUP(I22,Jabatan!$B:$E,4,FALSE),0)</x:f>
        <x:v>0</x:v>
      </x:c>
      <x:c r="T22" s="48" t="n">
        <x:f>F22*IFERROR(VLOOKUP("Tunjangan Masa Kerja / Tahun",Komponen!$A:$E,5,FALSE),0)</x:f>
        <x:v>0</x:v>
      </x:c>
      <x:c r="U22" s="48" t="n">
        <x:f>SUMIF(Lembur!$L$2:$L$501,A22&amp;"|"&amp;B22,Lembur!$I$2:$I$501)</x:f>
        <x:v>0</x:v>
      </x:c>
      <x:c r="V22" s="48" t="n">
        <x:f>K22*IFERROR(VLOOKUP("Uang Makan / Hari",Komponen!$A:$E,5,FALSE),0)</x:f>
        <x:v>0</x:v>
      </x:c>
      <x:c r="W22" s="48" t="n">
        <x:f>0</x:f>
        <x:v>0</x:v>
      </x:c>
      <x:c r="X22" s="48" t="n">
        <x:f>SUM(P22:W22)</x:f>
        <x:v>0</x:v>
      </x:c>
      <x:c r="Y22" s="48" t="n">
        <x:f>O22*IFERROR(VLOOKUP("Potongan Alpha",Komponen!$A:$E,5,FALSE),0)</x:f>
        <x:v>0</x:v>
      </x:c>
      <x:c r="Z22" s="48" t="n">
        <x:f>L22*IFERROR(VLOOKUP("Potongan Telat",Komponen!$A:$E,5,FALSE),0)</x:f>
        <x:v>0</x:v>
      </x:c>
      <x:c r="AA22" s="48" t="n">
        <x:f>0</x:f>
        <x:v>0</x:v>
      </x:c>
      <x:c r="AB22" s="48" t="n">
        <x:f>SUM(Y22:AA22)</x:f>
        <x:v>0</x:v>
      </x:c>
      <x:c r="AC22" s="48" t="n">
        <x:f>0</x:f>
        <x:v>0</x:v>
      </x:c>
      <x:c r="AD22" s="48" t="n">
        <x:f>X22-AB22+AC22</x:f>
        <x:v>0</x:v>
      </x:c>
      <x:c r="AE22" s="41" t="str">
        <x:f>IFERROR(VLOOKUP(B22,Karyawan!$A:$L,10,FALSE),"")</x:f>
      </x:c>
      <x:c r="AF22" s="41" t="str">
        <x:f>IF(AD22&lt;=0,"Cek gaji bersih",IF(P22&lt;=0,"Cek gaji pokok",IF(H22="","Cek jabatan",IF(G22="","Cek golongan","OK"))))</x:f>
        <x:v>Cek gaji bersih</x:v>
      </x:c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 t="n">
        <x:f>B23</x:f>
        <x:v>0</x:v>
      </x:c>
      <x:c r="D23" s="41" t="str">
        <x:f>IFERROR(VLOOKUP(B23,Karyawan!$A:$L,2,FALSE),"")</x:f>
      </x:c>
      <x:c r="E23" s="41" t="str">
        <x:f>IFERROR(VLOOKUP(B23,Karyawan!$A:$L,3,FALSE),"")</x:f>
      </x:c>
      <x:c r="F23" s="41" t="n">
        <x:f>IFERROR(VLOOKUP(B23,Karyawan!$A:$L,8,FALSE),0)</x:f>
        <x:v>0</x:v>
      </x:c>
      <x:c r="G23" s="41" t="str">
        <x:f>IFERROR(VLOOKUP(B23,Karyawan!$A:$L,6,FALSE),"")</x:f>
      </x:c>
      <x:c r="H23" s="41" t="str">
        <x:f>IFERROR(VLOOKUP(B23,Karyawan!$A:$L,4,FALSE),"")</x:f>
      </x:c>
      <x:c r="I23" s="41" t="str">
        <x:f>IFERROR(VLOOKUP(B23,Karyawan!$A:$L,5,FALSE),"")</x:f>
      </x:c>
      <x:c r="J23" s="41" t="n">
        <x:f>24</x:f>
        <x:v>24</x:v>
      </x:c>
      <x:c r="K23" s="41" t="n">
        <x:f>24</x:f>
        <x:v>24</x:v>
      </x:c>
      <x:c r="L23" s="41" t="n">
        <x:f>0</x:f>
        <x:v>0</x:v>
      </x:c>
      <x:c r="M23" s="41" t="n">
        <x:f>0</x:f>
        <x:v>0</x:v>
      </x:c>
      <x:c r="N23" s="41" t="n">
        <x:f>0</x:f>
        <x:v>0</x:v>
      </x:c>
      <x:c r="O23" s="41" t="n">
        <x:f>0</x:f>
        <x:v>0</x:v>
      </x:c>
      <x:c r="P23" s="48" t="n">
        <x:f>IFERROR(VLOOKUP(G23,Golongan!$B:$E,2,FALSE),0)</x:f>
        <x:v>0</x:v>
      </x:c>
      <x:c r="Q23" s="48" t="n">
        <x:f>IFERROR(VLOOKUP(I23,Jabatan!$B:$E,3,FALSE),0)</x:f>
        <x:v>0</x:v>
      </x:c>
      <x:c r="R23" s="48" t="n">
        <x:f>IF(J23&gt;0,IF(K23&gt;=J23,IFERROR(VLOOKUP(G23,Golongan!$B:$E,4,FALSE),0),K23*IFERROR(VLOOKUP(G23,Golongan!$B:$E,3,FALSE),0)),0)</x:f>
        <x:v>0</x:v>
      </x:c>
      <x:c r="S23" s="48" t="n">
        <x:f>IFERROR(VLOOKUP(I23,Jabatan!$B:$E,4,FALSE),0)</x:f>
        <x:v>0</x:v>
      </x:c>
      <x:c r="T23" s="48" t="n">
        <x:f>F23*IFERROR(VLOOKUP("Tunjangan Masa Kerja / Tahun",Komponen!$A:$E,5,FALSE),0)</x:f>
        <x:v>0</x:v>
      </x:c>
      <x:c r="U23" s="48" t="n">
        <x:f>SUMIF(Lembur!$L$2:$L$501,A23&amp;"|"&amp;B23,Lembur!$I$2:$I$501)</x:f>
        <x:v>0</x:v>
      </x:c>
      <x:c r="V23" s="48" t="n">
        <x:f>K23*IFERROR(VLOOKUP("Uang Makan / Hari",Komponen!$A:$E,5,FALSE),0)</x:f>
        <x:v>0</x:v>
      </x:c>
      <x:c r="W23" s="48" t="n">
        <x:f>0</x:f>
        <x:v>0</x:v>
      </x:c>
      <x:c r="X23" s="48" t="n">
        <x:f>SUM(P23:W23)</x:f>
        <x:v>0</x:v>
      </x:c>
      <x:c r="Y23" s="48" t="n">
        <x:f>O23*IFERROR(VLOOKUP("Potongan Alpha",Komponen!$A:$E,5,FALSE),0)</x:f>
        <x:v>0</x:v>
      </x:c>
      <x:c r="Z23" s="48" t="n">
        <x:f>L23*IFERROR(VLOOKUP("Potongan Telat",Komponen!$A:$E,5,FALSE),0)</x:f>
        <x:v>0</x:v>
      </x:c>
      <x:c r="AA23" s="48" t="n">
        <x:f>0</x:f>
        <x:v>0</x:v>
      </x:c>
      <x:c r="AB23" s="48" t="n">
        <x:f>SUM(Y23:AA23)</x:f>
        <x:v>0</x:v>
      </x:c>
      <x:c r="AC23" s="48" t="n">
        <x:f>0</x:f>
        <x:v>0</x:v>
      </x:c>
      <x:c r="AD23" s="48" t="n">
        <x:f>X23-AB23+AC23</x:f>
        <x:v>0</x:v>
      </x:c>
      <x:c r="AE23" s="41" t="str">
        <x:f>IFERROR(VLOOKUP(B23,Karyawan!$A:$L,10,FALSE),"")</x:f>
      </x:c>
      <x:c r="AF23" s="41" t="str">
        <x:f>IF(AD23&lt;=0,"Cek gaji bersih",IF(P23&lt;=0,"Cek gaji pokok",IF(H23="","Cek jabatan",IF(G23="","Cek golongan","OK"))))</x:f>
        <x:v>Cek gaji bersih</x:v>
      </x:c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 t="n">
        <x:f>B24</x:f>
        <x:v>0</x:v>
      </x:c>
      <x:c r="D24" s="41" t="str">
        <x:f>IFERROR(VLOOKUP(B24,Karyawan!$A:$L,2,FALSE),"")</x:f>
      </x:c>
      <x:c r="E24" s="41" t="str">
        <x:f>IFERROR(VLOOKUP(B24,Karyawan!$A:$L,3,FALSE),"")</x:f>
      </x:c>
      <x:c r="F24" s="41" t="n">
        <x:f>IFERROR(VLOOKUP(B24,Karyawan!$A:$L,8,FALSE),0)</x:f>
        <x:v>0</x:v>
      </x:c>
      <x:c r="G24" s="41" t="str">
        <x:f>IFERROR(VLOOKUP(B24,Karyawan!$A:$L,6,FALSE),"")</x:f>
      </x:c>
      <x:c r="H24" s="41" t="str">
        <x:f>IFERROR(VLOOKUP(B24,Karyawan!$A:$L,4,FALSE),"")</x:f>
      </x:c>
      <x:c r="I24" s="41" t="str">
        <x:f>IFERROR(VLOOKUP(B24,Karyawan!$A:$L,5,FALSE),"")</x:f>
      </x:c>
      <x:c r="J24" s="41" t="n">
        <x:f>24</x:f>
        <x:v>24</x:v>
      </x:c>
      <x:c r="K24" s="41" t="n">
        <x:f>24</x:f>
        <x:v>24</x:v>
      </x:c>
      <x:c r="L24" s="41" t="n">
        <x:f>0</x:f>
        <x:v>0</x:v>
      </x:c>
      <x:c r="M24" s="41" t="n">
        <x:f>0</x:f>
        <x:v>0</x:v>
      </x:c>
      <x:c r="N24" s="41" t="n">
        <x:f>0</x:f>
        <x:v>0</x:v>
      </x:c>
      <x:c r="O24" s="41" t="n">
        <x:f>0</x:f>
        <x:v>0</x:v>
      </x:c>
      <x:c r="P24" s="48" t="n">
        <x:f>IFERROR(VLOOKUP(G24,Golongan!$B:$E,2,FALSE),0)</x:f>
        <x:v>0</x:v>
      </x:c>
      <x:c r="Q24" s="48" t="n">
        <x:f>IFERROR(VLOOKUP(I24,Jabatan!$B:$E,3,FALSE),0)</x:f>
        <x:v>0</x:v>
      </x:c>
      <x:c r="R24" s="48" t="n">
        <x:f>IF(J24&gt;0,IF(K24&gt;=J24,IFERROR(VLOOKUP(G24,Golongan!$B:$E,4,FALSE),0),K24*IFERROR(VLOOKUP(G24,Golongan!$B:$E,3,FALSE),0)),0)</x:f>
        <x:v>0</x:v>
      </x:c>
      <x:c r="S24" s="48" t="n">
        <x:f>IFERROR(VLOOKUP(I24,Jabatan!$B:$E,4,FALSE),0)</x:f>
        <x:v>0</x:v>
      </x:c>
      <x:c r="T24" s="48" t="n">
        <x:f>F24*IFERROR(VLOOKUP("Tunjangan Masa Kerja / Tahun",Komponen!$A:$E,5,FALSE),0)</x:f>
        <x:v>0</x:v>
      </x:c>
      <x:c r="U24" s="48" t="n">
        <x:f>SUMIF(Lembur!$L$2:$L$501,A24&amp;"|"&amp;B24,Lembur!$I$2:$I$501)</x:f>
        <x:v>0</x:v>
      </x:c>
      <x:c r="V24" s="48" t="n">
        <x:f>K24*IFERROR(VLOOKUP("Uang Makan / Hari",Komponen!$A:$E,5,FALSE),0)</x:f>
        <x:v>0</x:v>
      </x:c>
      <x:c r="W24" s="48" t="n">
        <x:f>0</x:f>
        <x:v>0</x:v>
      </x:c>
      <x:c r="X24" s="48" t="n">
        <x:f>SUM(P24:W24)</x:f>
        <x:v>0</x:v>
      </x:c>
      <x:c r="Y24" s="48" t="n">
        <x:f>O24*IFERROR(VLOOKUP("Potongan Alpha",Komponen!$A:$E,5,FALSE),0)</x:f>
        <x:v>0</x:v>
      </x:c>
      <x:c r="Z24" s="48" t="n">
        <x:f>L24*IFERROR(VLOOKUP("Potongan Telat",Komponen!$A:$E,5,FALSE),0)</x:f>
        <x:v>0</x:v>
      </x:c>
      <x:c r="AA24" s="48" t="n">
        <x:f>0</x:f>
        <x:v>0</x:v>
      </x:c>
      <x:c r="AB24" s="48" t="n">
        <x:f>SUM(Y24:AA24)</x:f>
        <x:v>0</x:v>
      </x:c>
      <x:c r="AC24" s="48" t="n">
        <x:f>0</x:f>
        <x:v>0</x:v>
      </x:c>
      <x:c r="AD24" s="48" t="n">
        <x:f>X24-AB24+AC24</x:f>
        <x:v>0</x:v>
      </x:c>
      <x:c r="AE24" s="41" t="str">
        <x:f>IFERROR(VLOOKUP(B24,Karyawan!$A:$L,10,FALSE),"")</x:f>
      </x:c>
      <x:c r="AF24" s="41" t="str">
        <x:f>IF(AD24&lt;=0,"Cek gaji bersih",IF(P24&lt;=0,"Cek gaji pokok",IF(H24="","Cek jabatan",IF(G24="","Cek golongan","OK"))))</x:f>
        <x:v>Cek gaji bersih</x:v>
      </x:c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 t="n">
        <x:f>B25</x:f>
        <x:v>0</x:v>
      </x:c>
      <x:c r="D25" s="41" t="str">
        <x:f>IFERROR(VLOOKUP(B25,Karyawan!$A:$L,2,FALSE),"")</x:f>
      </x:c>
      <x:c r="E25" s="41" t="str">
        <x:f>IFERROR(VLOOKUP(B25,Karyawan!$A:$L,3,FALSE),"")</x:f>
      </x:c>
      <x:c r="F25" s="41" t="n">
        <x:f>IFERROR(VLOOKUP(B25,Karyawan!$A:$L,8,FALSE),0)</x:f>
        <x:v>0</x:v>
      </x:c>
      <x:c r="G25" s="41" t="str">
        <x:f>IFERROR(VLOOKUP(B25,Karyawan!$A:$L,6,FALSE),"")</x:f>
      </x:c>
      <x:c r="H25" s="41" t="str">
        <x:f>IFERROR(VLOOKUP(B25,Karyawan!$A:$L,4,FALSE),"")</x:f>
      </x:c>
      <x:c r="I25" s="41" t="str">
        <x:f>IFERROR(VLOOKUP(B25,Karyawan!$A:$L,5,FALSE),"")</x:f>
      </x:c>
      <x:c r="J25" s="41" t="n">
        <x:f>24</x:f>
        <x:v>24</x:v>
      </x:c>
      <x:c r="K25" s="41" t="n">
        <x:f>24</x:f>
        <x:v>24</x:v>
      </x:c>
      <x:c r="L25" s="41" t="n">
        <x:f>0</x:f>
        <x:v>0</x:v>
      </x:c>
      <x:c r="M25" s="41" t="n">
        <x:f>0</x:f>
        <x:v>0</x:v>
      </x:c>
      <x:c r="N25" s="41" t="n">
        <x:f>0</x:f>
        <x:v>0</x:v>
      </x:c>
      <x:c r="O25" s="41" t="n">
        <x:f>0</x:f>
        <x:v>0</x:v>
      </x:c>
      <x:c r="P25" s="48" t="n">
        <x:f>IFERROR(VLOOKUP(G25,Golongan!$B:$E,2,FALSE),0)</x:f>
        <x:v>0</x:v>
      </x:c>
      <x:c r="Q25" s="48" t="n">
        <x:f>IFERROR(VLOOKUP(I25,Jabatan!$B:$E,3,FALSE),0)</x:f>
        <x:v>0</x:v>
      </x:c>
      <x:c r="R25" s="48" t="n">
        <x:f>IF(J25&gt;0,IF(K25&gt;=J25,IFERROR(VLOOKUP(G25,Golongan!$B:$E,4,FALSE),0),K25*IFERROR(VLOOKUP(G25,Golongan!$B:$E,3,FALSE),0)),0)</x:f>
        <x:v>0</x:v>
      </x:c>
      <x:c r="S25" s="48" t="n">
        <x:f>IFERROR(VLOOKUP(I25,Jabatan!$B:$E,4,FALSE),0)</x:f>
        <x:v>0</x:v>
      </x:c>
      <x:c r="T25" s="48" t="n">
        <x:f>F25*IFERROR(VLOOKUP("Tunjangan Masa Kerja / Tahun",Komponen!$A:$E,5,FALSE),0)</x:f>
        <x:v>0</x:v>
      </x:c>
      <x:c r="U25" s="48" t="n">
        <x:f>SUMIF(Lembur!$L$2:$L$501,A25&amp;"|"&amp;B25,Lembur!$I$2:$I$501)</x:f>
        <x:v>0</x:v>
      </x:c>
      <x:c r="V25" s="48" t="n">
        <x:f>K25*IFERROR(VLOOKUP("Uang Makan / Hari",Komponen!$A:$E,5,FALSE),0)</x:f>
        <x:v>0</x:v>
      </x:c>
      <x:c r="W25" s="48" t="n">
        <x:f>0</x:f>
        <x:v>0</x:v>
      </x:c>
      <x:c r="X25" s="48" t="n">
        <x:f>SUM(P25:W25)</x:f>
        <x:v>0</x:v>
      </x:c>
      <x:c r="Y25" s="48" t="n">
        <x:f>O25*IFERROR(VLOOKUP("Potongan Alpha",Komponen!$A:$E,5,FALSE),0)</x:f>
        <x:v>0</x:v>
      </x:c>
      <x:c r="Z25" s="48" t="n">
        <x:f>L25*IFERROR(VLOOKUP("Potongan Telat",Komponen!$A:$E,5,FALSE),0)</x:f>
        <x:v>0</x:v>
      </x:c>
      <x:c r="AA25" s="48" t="n">
        <x:f>0</x:f>
        <x:v>0</x:v>
      </x:c>
      <x:c r="AB25" s="48" t="n">
        <x:f>SUM(Y25:AA25)</x:f>
        <x:v>0</x:v>
      </x:c>
      <x:c r="AC25" s="48" t="n">
        <x:f>0</x:f>
        <x:v>0</x:v>
      </x:c>
      <x:c r="AD25" s="48" t="n">
        <x:f>X25-AB25+AC25</x:f>
        <x:v>0</x:v>
      </x:c>
      <x:c r="AE25" s="41" t="str">
        <x:f>IFERROR(VLOOKUP(B25,Karyawan!$A:$L,10,FALSE),"")</x:f>
      </x:c>
      <x:c r="AF25" s="41" t="str">
        <x:f>IF(AD25&lt;=0,"Cek gaji bersih",IF(P25&lt;=0,"Cek gaji pokok",IF(H25="","Cek jabatan",IF(G25="","Cek golongan","OK"))))</x:f>
        <x:v>Cek gaji bersih</x:v>
      </x:c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 t="n">
        <x:f>B26</x:f>
        <x:v>0</x:v>
      </x:c>
      <x:c r="D26" s="41" t="str">
        <x:f>IFERROR(VLOOKUP(B26,Karyawan!$A:$L,2,FALSE),"")</x:f>
      </x:c>
      <x:c r="E26" s="41" t="str">
        <x:f>IFERROR(VLOOKUP(B26,Karyawan!$A:$L,3,FALSE),"")</x:f>
      </x:c>
      <x:c r="F26" s="41" t="n">
        <x:f>IFERROR(VLOOKUP(B26,Karyawan!$A:$L,8,FALSE),0)</x:f>
        <x:v>0</x:v>
      </x:c>
      <x:c r="G26" s="41" t="str">
        <x:f>IFERROR(VLOOKUP(B26,Karyawan!$A:$L,6,FALSE),"")</x:f>
      </x:c>
      <x:c r="H26" s="41" t="str">
        <x:f>IFERROR(VLOOKUP(B26,Karyawan!$A:$L,4,FALSE),"")</x:f>
      </x:c>
      <x:c r="I26" s="41" t="str">
        <x:f>IFERROR(VLOOKUP(B26,Karyawan!$A:$L,5,FALSE),"")</x:f>
      </x:c>
      <x:c r="J26" s="41" t="n">
        <x:f>24</x:f>
        <x:v>24</x:v>
      </x:c>
      <x:c r="K26" s="41" t="n">
        <x:f>24</x:f>
        <x:v>24</x:v>
      </x:c>
      <x:c r="L26" s="41" t="n">
        <x:f>0</x:f>
        <x:v>0</x:v>
      </x:c>
      <x:c r="M26" s="41" t="n">
        <x:f>0</x:f>
        <x:v>0</x:v>
      </x:c>
      <x:c r="N26" s="41" t="n">
        <x:f>0</x:f>
        <x:v>0</x:v>
      </x:c>
      <x:c r="O26" s="41" t="n">
        <x:f>0</x:f>
        <x:v>0</x:v>
      </x:c>
      <x:c r="P26" s="48" t="n">
        <x:f>IFERROR(VLOOKUP(G26,Golongan!$B:$E,2,FALSE),0)</x:f>
        <x:v>0</x:v>
      </x:c>
      <x:c r="Q26" s="48" t="n">
        <x:f>IFERROR(VLOOKUP(I26,Jabatan!$B:$E,3,FALSE),0)</x:f>
        <x:v>0</x:v>
      </x:c>
      <x:c r="R26" s="48" t="n">
        <x:f>IF(J26&gt;0,IF(K26&gt;=J26,IFERROR(VLOOKUP(G26,Golongan!$B:$E,4,FALSE),0),K26*IFERROR(VLOOKUP(G26,Golongan!$B:$E,3,FALSE),0)),0)</x:f>
        <x:v>0</x:v>
      </x:c>
      <x:c r="S26" s="48" t="n">
        <x:f>IFERROR(VLOOKUP(I26,Jabatan!$B:$E,4,FALSE),0)</x:f>
        <x:v>0</x:v>
      </x:c>
      <x:c r="T26" s="48" t="n">
        <x:f>F26*IFERROR(VLOOKUP("Tunjangan Masa Kerja / Tahun",Komponen!$A:$E,5,FALSE),0)</x:f>
        <x:v>0</x:v>
      </x:c>
      <x:c r="U26" s="48" t="n">
        <x:f>SUMIF(Lembur!$L$2:$L$501,A26&amp;"|"&amp;B26,Lembur!$I$2:$I$501)</x:f>
        <x:v>0</x:v>
      </x:c>
      <x:c r="V26" s="48" t="n">
        <x:f>K26*IFERROR(VLOOKUP("Uang Makan / Hari",Komponen!$A:$E,5,FALSE),0)</x:f>
        <x:v>0</x:v>
      </x:c>
      <x:c r="W26" s="48" t="n">
        <x:f>0</x:f>
        <x:v>0</x:v>
      </x:c>
      <x:c r="X26" s="48" t="n">
        <x:f>SUM(P26:W26)</x:f>
        <x:v>0</x:v>
      </x:c>
      <x:c r="Y26" s="48" t="n">
        <x:f>O26*IFERROR(VLOOKUP("Potongan Alpha",Komponen!$A:$E,5,FALSE),0)</x:f>
        <x:v>0</x:v>
      </x:c>
      <x:c r="Z26" s="48" t="n">
        <x:f>L26*IFERROR(VLOOKUP("Potongan Telat",Komponen!$A:$E,5,FALSE),0)</x:f>
        <x:v>0</x:v>
      </x:c>
      <x:c r="AA26" s="48" t="n">
        <x:f>0</x:f>
        <x:v>0</x:v>
      </x:c>
      <x:c r="AB26" s="48" t="n">
        <x:f>SUM(Y26:AA26)</x:f>
        <x:v>0</x:v>
      </x:c>
      <x:c r="AC26" s="48" t="n">
        <x:f>0</x:f>
        <x:v>0</x:v>
      </x:c>
      <x:c r="AD26" s="48" t="n">
        <x:f>X26-AB26+AC26</x:f>
        <x:v>0</x:v>
      </x:c>
      <x:c r="AE26" s="41" t="str">
        <x:f>IFERROR(VLOOKUP(B26,Karyawan!$A:$L,10,FALSE),"")</x:f>
      </x:c>
      <x:c r="AF26" s="41" t="str">
        <x:f>IF(AD26&lt;=0,"Cek gaji bersih",IF(P26&lt;=0,"Cek gaji pokok",IF(H26="","Cek jabatan",IF(G26="","Cek golongan","OK"))))</x:f>
        <x:v>Cek gaji bersih</x:v>
      </x:c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 t="n">
        <x:f>B27</x:f>
        <x:v>0</x:v>
      </x:c>
      <x:c r="D27" s="41" t="str">
        <x:f>IFERROR(VLOOKUP(B27,Karyawan!$A:$L,2,FALSE),"")</x:f>
      </x:c>
      <x:c r="E27" s="41" t="str">
        <x:f>IFERROR(VLOOKUP(B27,Karyawan!$A:$L,3,FALSE),"")</x:f>
      </x:c>
      <x:c r="F27" s="41" t="n">
        <x:f>IFERROR(VLOOKUP(B27,Karyawan!$A:$L,8,FALSE),0)</x:f>
        <x:v>0</x:v>
      </x:c>
      <x:c r="G27" s="41" t="str">
        <x:f>IFERROR(VLOOKUP(B27,Karyawan!$A:$L,6,FALSE),"")</x:f>
      </x:c>
      <x:c r="H27" s="41" t="str">
        <x:f>IFERROR(VLOOKUP(B27,Karyawan!$A:$L,4,FALSE),"")</x:f>
      </x:c>
      <x:c r="I27" s="41" t="str">
        <x:f>IFERROR(VLOOKUP(B27,Karyawan!$A:$L,5,FALSE),"")</x:f>
      </x:c>
      <x:c r="J27" s="41" t="n">
        <x:f>24</x:f>
        <x:v>24</x:v>
      </x:c>
      <x:c r="K27" s="41" t="n">
        <x:f>24</x:f>
        <x:v>24</x:v>
      </x:c>
      <x:c r="L27" s="41" t="n">
        <x:f>0</x:f>
        <x:v>0</x:v>
      </x:c>
      <x:c r="M27" s="41" t="n">
        <x:f>0</x:f>
        <x:v>0</x:v>
      </x:c>
      <x:c r="N27" s="41" t="n">
        <x:f>0</x:f>
        <x:v>0</x:v>
      </x:c>
      <x:c r="O27" s="41" t="n">
        <x:f>0</x:f>
        <x:v>0</x:v>
      </x:c>
      <x:c r="P27" s="48" t="n">
        <x:f>IFERROR(VLOOKUP(G27,Golongan!$B:$E,2,FALSE),0)</x:f>
        <x:v>0</x:v>
      </x:c>
      <x:c r="Q27" s="48" t="n">
        <x:f>IFERROR(VLOOKUP(I27,Jabatan!$B:$E,3,FALSE),0)</x:f>
        <x:v>0</x:v>
      </x:c>
      <x:c r="R27" s="48" t="n">
        <x:f>IF(J27&gt;0,IF(K27&gt;=J27,IFERROR(VLOOKUP(G27,Golongan!$B:$E,4,FALSE),0),K27*IFERROR(VLOOKUP(G27,Golongan!$B:$E,3,FALSE),0)),0)</x:f>
        <x:v>0</x:v>
      </x:c>
      <x:c r="S27" s="48" t="n">
        <x:f>IFERROR(VLOOKUP(I27,Jabatan!$B:$E,4,FALSE),0)</x:f>
        <x:v>0</x:v>
      </x:c>
      <x:c r="T27" s="48" t="n">
        <x:f>F27*IFERROR(VLOOKUP("Tunjangan Masa Kerja / Tahun",Komponen!$A:$E,5,FALSE),0)</x:f>
        <x:v>0</x:v>
      </x:c>
      <x:c r="U27" s="48" t="n">
        <x:f>SUMIF(Lembur!$L$2:$L$501,A27&amp;"|"&amp;B27,Lembur!$I$2:$I$501)</x:f>
        <x:v>0</x:v>
      </x:c>
      <x:c r="V27" s="48" t="n">
        <x:f>K27*IFERROR(VLOOKUP("Uang Makan / Hari",Komponen!$A:$E,5,FALSE),0)</x:f>
        <x:v>0</x:v>
      </x:c>
      <x:c r="W27" s="48" t="n">
        <x:f>0</x:f>
        <x:v>0</x:v>
      </x:c>
      <x:c r="X27" s="48" t="n">
        <x:f>SUM(P27:W27)</x:f>
        <x:v>0</x:v>
      </x:c>
      <x:c r="Y27" s="48" t="n">
        <x:f>O27*IFERROR(VLOOKUP("Potongan Alpha",Komponen!$A:$E,5,FALSE),0)</x:f>
        <x:v>0</x:v>
      </x:c>
      <x:c r="Z27" s="48" t="n">
        <x:f>L27*IFERROR(VLOOKUP("Potongan Telat",Komponen!$A:$E,5,FALSE),0)</x:f>
        <x:v>0</x:v>
      </x:c>
      <x:c r="AA27" s="48" t="n">
        <x:f>0</x:f>
        <x:v>0</x:v>
      </x:c>
      <x:c r="AB27" s="48" t="n">
        <x:f>SUM(Y27:AA27)</x:f>
        <x:v>0</x:v>
      </x:c>
      <x:c r="AC27" s="48" t="n">
        <x:f>0</x:f>
        <x:v>0</x:v>
      </x:c>
      <x:c r="AD27" s="48" t="n">
        <x:f>X27-AB27+AC27</x:f>
        <x:v>0</x:v>
      </x:c>
      <x:c r="AE27" s="41" t="str">
        <x:f>IFERROR(VLOOKUP(B27,Karyawan!$A:$L,10,FALSE),"")</x:f>
      </x:c>
      <x:c r="AF27" s="41" t="str">
        <x:f>IF(AD27&lt;=0,"Cek gaji bersih",IF(P27&lt;=0,"Cek gaji pokok",IF(H27="","Cek jabatan",IF(G27="","Cek golongan","OK"))))</x:f>
        <x:v>Cek gaji bersih</x:v>
      </x:c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 t="n">
        <x:f>B28</x:f>
        <x:v>0</x:v>
      </x:c>
      <x:c r="D28" s="41" t="str">
        <x:f>IFERROR(VLOOKUP(B28,Karyawan!$A:$L,2,FALSE),"")</x:f>
      </x:c>
      <x:c r="E28" s="41" t="str">
        <x:f>IFERROR(VLOOKUP(B28,Karyawan!$A:$L,3,FALSE),"")</x:f>
      </x:c>
      <x:c r="F28" s="41" t="n">
        <x:f>IFERROR(VLOOKUP(B28,Karyawan!$A:$L,8,FALSE),0)</x:f>
        <x:v>0</x:v>
      </x:c>
      <x:c r="G28" s="41" t="str">
        <x:f>IFERROR(VLOOKUP(B28,Karyawan!$A:$L,6,FALSE),"")</x:f>
      </x:c>
      <x:c r="H28" s="41" t="str">
        <x:f>IFERROR(VLOOKUP(B28,Karyawan!$A:$L,4,FALSE),"")</x:f>
      </x:c>
      <x:c r="I28" s="41" t="str">
        <x:f>IFERROR(VLOOKUP(B28,Karyawan!$A:$L,5,FALSE),"")</x:f>
      </x:c>
      <x:c r="J28" s="41" t="n">
        <x:f>24</x:f>
        <x:v>24</x:v>
      </x:c>
      <x:c r="K28" s="41" t="n">
        <x:f>24</x:f>
        <x:v>24</x:v>
      </x:c>
      <x:c r="L28" s="41" t="n">
        <x:f>0</x:f>
        <x:v>0</x:v>
      </x:c>
      <x:c r="M28" s="41" t="n">
        <x:f>0</x:f>
        <x:v>0</x:v>
      </x:c>
      <x:c r="N28" s="41" t="n">
        <x:f>0</x:f>
        <x:v>0</x:v>
      </x:c>
      <x:c r="O28" s="41" t="n">
        <x:f>0</x:f>
        <x:v>0</x:v>
      </x:c>
      <x:c r="P28" s="48" t="n">
        <x:f>IFERROR(VLOOKUP(G28,Golongan!$B:$E,2,FALSE),0)</x:f>
        <x:v>0</x:v>
      </x:c>
      <x:c r="Q28" s="48" t="n">
        <x:f>IFERROR(VLOOKUP(I28,Jabatan!$B:$E,3,FALSE),0)</x:f>
        <x:v>0</x:v>
      </x:c>
      <x:c r="R28" s="48" t="n">
        <x:f>IF(J28&gt;0,IF(K28&gt;=J28,IFERROR(VLOOKUP(G28,Golongan!$B:$E,4,FALSE),0),K28*IFERROR(VLOOKUP(G28,Golongan!$B:$E,3,FALSE),0)),0)</x:f>
        <x:v>0</x:v>
      </x:c>
      <x:c r="S28" s="48" t="n">
        <x:f>IFERROR(VLOOKUP(I28,Jabatan!$B:$E,4,FALSE),0)</x:f>
        <x:v>0</x:v>
      </x:c>
      <x:c r="T28" s="48" t="n">
        <x:f>F28*IFERROR(VLOOKUP("Tunjangan Masa Kerja / Tahun",Komponen!$A:$E,5,FALSE),0)</x:f>
        <x:v>0</x:v>
      </x:c>
      <x:c r="U28" s="48" t="n">
        <x:f>SUMIF(Lembur!$L$2:$L$501,A28&amp;"|"&amp;B28,Lembur!$I$2:$I$501)</x:f>
        <x:v>0</x:v>
      </x:c>
      <x:c r="V28" s="48" t="n">
        <x:f>K28*IFERROR(VLOOKUP("Uang Makan / Hari",Komponen!$A:$E,5,FALSE),0)</x:f>
        <x:v>0</x:v>
      </x:c>
      <x:c r="W28" s="48" t="n">
        <x:f>0</x:f>
        <x:v>0</x:v>
      </x:c>
      <x:c r="X28" s="48" t="n">
        <x:f>SUM(P28:W28)</x:f>
        <x:v>0</x:v>
      </x:c>
      <x:c r="Y28" s="48" t="n">
        <x:f>O28*IFERROR(VLOOKUP("Potongan Alpha",Komponen!$A:$E,5,FALSE),0)</x:f>
        <x:v>0</x:v>
      </x:c>
      <x:c r="Z28" s="48" t="n">
        <x:f>L28*IFERROR(VLOOKUP("Potongan Telat",Komponen!$A:$E,5,FALSE),0)</x:f>
        <x:v>0</x:v>
      </x:c>
      <x:c r="AA28" s="48" t="n">
        <x:f>0</x:f>
        <x:v>0</x:v>
      </x:c>
      <x:c r="AB28" s="48" t="n">
        <x:f>SUM(Y28:AA28)</x:f>
        <x:v>0</x:v>
      </x:c>
      <x:c r="AC28" s="48" t="n">
        <x:f>0</x:f>
        <x:v>0</x:v>
      </x:c>
      <x:c r="AD28" s="48" t="n">
        <x:f>X28-AB28+AC28</x:f>
        <x:v>0</x:v>
      </x:c>
      <x:c r="AE28" s="41" t="str">
        <x:f>IFERROR(VLOOKUP(B28,Karyawan!$A:$L,10,FALSE),"")</x:f>
      </x:c>
      <x:c r="AF28" s="41" t="str">
        <x:f>IF(AD28&lt;=0,"Cek gaji bersih",IF(P28&lt;=0,"Cek gaji pokok",IF(H28="","Cek jabatan",IF(G28="","Cek golongan","OK"))))</x:f>
        <x:v>Cek gaji bersih</x:v>
      </x:c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 t="n">
        <x:f>B29</x:f>
        <x:v>0</x:v>
      </x:c>
      <x:c r="D29" s="41" t="str">
        <x:f>IFERROR(VLOOKUP(B29,Karyawan!$A:$L,2,FALSE),"")</x:f>
      </x:c>
      <x:c r="E29" s="41" t="str">
        <x:f>IFERROR(VLOOKUP(B29,Karyawan!$A:$L,3,FALSE),"")</x:f>
      </x:c>
      <x:c r="F29" s="41" t="n">
        <x:f>IFERROR(VLOOKUP(B29,Karyawan!$A:$L,8,FALSE),0)</x:f>
        <x:v>0</x:v>
      </x:c>
      <x:c r="G29" s="41" t="str">
        <x:f>IFERROR(VLOOKUP(B29,Karyawan!$A:$L,6,FALSE),"")</x:f>
      </x:c>
      <x:c r="H29" s="41" t="str">
        <x:f>IFERROR(VLOOKUP(B29,Karyawan!$A:$L,4,FALSE),"")</x:f>
      </x:c>
      <x:c r="I29" s="41" t="str">
        <x:f>IFERROR(VLOOKUP(B29,Karyawan!$A:$L,5,FALSE),"")</x:f>
      </x:c>
      <x:c r="J29" s="41" t="n">
        <x:f>24</x:f>
        <x:v>24</x:v>
      </x:c>
      <x:c r="K29" s="41" t="n">
        <x:f>24</x:f>
        <x:v>24</x:v>
      </x:c>
      <x:c r="L29" s="41" t="n">
        <x:f>0</x:f>
        <x:v>0</x:v>
      </x:c>
      <x:c r="M29" s="41" t="n">
        <x:f>0</x:f>
        <x:v>0</x:v>
      </x:c>
      <x:c r="N29" s="41" t="n">
        <x:f>0</x:f>
        <x:v>0</x:v>
      </x:c>
      <x:c r="O29" s="41" t="n">
        <x:f>0</x:f>
        <x:v>0</x:v>
      </x:c>
      <x:c r="P29" s="48" t="n">
        <x:f>IFERROR(VLOOKUP(G29,Golongan!$B:$E,2,FALSE),0)</x:f>
        <x:v>0</x:v>
      </x:c>
      <x:c r="Q29" s="48" t="n">
        <x:f>IFERROR(VLOOKUP(I29,Jabatan!$B:$E,3,FALSE),0)</x:f>
        <x:v>0</x:v>
      </x:c>
      <x:c r="R29" s="48" t="n">
        <x:f>IF(J29&gt;0,IF(K29&gt;=J29,IFERROR(VLOOKUP(G29,Golongan!$B:$E,4,FALSE),0),K29*IFERROR(VLOOKUP(G29,Golongan!$B:$E,3,FALSE),0)),0)</x:f>
        <x:v>0</x:v>
      </x:c>
      <x:c r="S29" s="48" t="n">
        <x:f>IFERROR(VLOOKUP(I29,Jabatan!$B:$E,4,FALSE),0)</x:f>
        <x:v>0</x:v>
      </x:c>
      <x:c r="T29" s="48" t="n">
        <x:f>F29*IFERROR(VLOOKUP("Tunjangan Masa Kerja / Tahun",Komponen!$A:$E,5,FALSE),0)</x:f>
        <x:v>0</x:v>
      </x:c>
      <x:c r="U29" s="48" t="n">
        <x:f>SUMIF(Lembur!$L$2:$L$501,A29&amp;"|"&amp;B29,Lembur!$I$2:$I$501)</x:f>
        <x:v>0</x:v>
      </x:c>
      <x:c r="V29" s="48" t="n">
        <x:f>K29*IFERROR(VLOOKUP("Uang Makan / Hari",Komponen!$A:$E,5,FALSE),0)</x:f>
        <x:v>0</x:v>
      </x:c>
      <x:c r="W29" s="48" t="n">
        <x:f>0</x:f>
        <x:v>0</x:v>
      </x:c>
      <x:c r="X29" s="48" t="n">
        <x:f>SUM(P29:W29)</x:f>
        <x:v>0</x:v>
      </x:c>
      <x:c r="Y29" s="48" t="n">
        <x:f>O29*IFERROR(VLOOKUP("Potongan Alpha",Komponen!$A:$E,5,FALSE),0)</x:f>
        <x:v>0</x:v>
      </x:c>
      <x:c r="Z29" s="48" t="n">
        <x:f>L29*IFERROR(VLOOKUP("Potongan Telat",Komponen!$A:$E,5,FALSE),0)</x:f>
        <x:v>0</x:v>
      </x:c>
      <x:c r="AA29" s="48" t="n">
        <x:f>0</x:f>
        <x:v>0</x:v>
      </x:c>
      <x:c r="AB29" s="48" t="n">
        <x:f>SUM(Y29:AA29)</x:f>
        <x:v>0</x:v>
      </x:c>
      <x:c r="AC29" s="48" t="n">
        <x:f>0</x:f>
        <x:v>0</x:v>
      </x:c>
      <x:c r="AD29" s="48" t="n">
        <x:f>X29-AB29+AC29</x:f>
        <x:v>0</x:v>
      </x:c>
      <x:c r="AE29" s="41" t="str">
        <x:f>IFERROR(VLOOKUP(B29,Karyawan!$A:$L,10,FALSE),"")</x:f>
      </x:c>
      <x:c r="AF29" s="41" t="str">
        <x:f>IF(AD29&lt;=0,"Cek gaji bersih",IF(P29&lt;=0,"Cek gaji pokok",IF(H29="","Cek jabatan",IF(G29="","Cek golongan","OK"))))</x:f>
        <x:v>Cek gaji bersih</x:v>
      </x:c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 t="n">
        <x:f>B30</x:f>
        <x:v>0</x:v>
      </x:c>
      <x:c r="D30" s="41" t="str">
        <x:f>IFERROR(VLOOKUP(B30,Karyawan!$A:$L,2,FALSE),"")</x:f>
      </x:c>
      <x:c r="E30" s="41" t="str">
        <x:f>IFERROR(VLOOKUP(B30,Karyawan!$A:$L,3,FALSE),"")</x:f>
      </x:c>
      <x:c r="F30" s="41" t="n">
        <x:f>IFERROR(VLOOKUP(B30,Karyawan!$A:$L,8,FALSE),0)</x:f>
        <x:v>0</x:v>
      </x:c>
      <x:c r="G30" s="41" t="str">
        <x:f>IFERROR(VLOOKUP(B30,Karyawan!$A:$L,6,FALSE),"")</x:f>
      </x:c>
      <x:c r="H30" s="41" t="str">
        <x:f>IFERROR(VLOOKUP(B30,Karyawan!$A:$L,4,FALSE),"")</x:f>
      </x:c>
      <x:c r="I30" s="41" t="str">
        <x:f>IFERROR(VLOOKUP(B30,Karyawan!$A:$L,5,FALSE),"")</x:f>
      </x:c>
      <x:c r="J30" s="41" t="n">
        <x:f>24</x:f>
        <x:v>24</x:v>
      </x:c>
      <x:c r="K30" s="41" t="n">
        <x:f>24</x:f>
        <x:v>24</x:v>
      </x:c>
      <x:c r="L30" s="41" t="n">
        <x:f>0</x:f>
        <x:v>0</x:v>
      </x:c>
      <x:c r="M30" s="41" t="n">
        <x:f>0</x:f>
        <x:v>0</x:v>
      </x:c>
      <x:c r="N30" s="41" t="n">
        <x:f>0</x:f>
        <x:v>0</x:v>
      </x:c>
      <x:c r="O30" s="41" t="n">
        <x:f>0</x:f>
        <x:v>0</x:v>
      </x:c>
      <x:c r="P30" s="48" t="n">
        <x:f>IFERROR(VLOOKUP(G30,Golongan!$B:$E,2,FALSE),0)</x:f>
        <x:v>0</x:v>
      </x:c>
      <x:c r="Q30" s="48" t="n">
        <x:f>IFERROR(VLOOKUP(I30,Jabatan!$B:$E,3,FALSE),0)</x:f>
        <x:v>0</x:v>
      </x:c>
      <x:c r="R30" s="48" t="n">
        <x:f>IF(J30&gt;0,IF(K30&gt;=J30,IFERROR(VLOOKUP(G30,Golongan!$B:$E,4,FALSE),0),K30*IFERROR(VLOOKUP(G30,Golongan!$B:$E,3,FALSE),0)),0)</x:f>
        <x:v>0</x:v>
      </x:c>
      <x:c r="S30" s="48" t="n">
        <x:f>IFERROR(VLOOKUP(I30,Jabatan!$B:$E,4,FALSE),0)</x:f>
        <x:v>0</x:v>
      </x:c>
      <x:c r="T30" s="48" t="n">
        <x:f>F30*IFERROR(VLOOKUP("Tunjangan Masa Kerja / Tahun",Komponen!$A:$E,5,FALSE),0)</x:f>
        <x:v>0</x:v>
      </x:c>
      <x:c r="U30" s="48" t="n">
        <x:f>SUMIF(Lembur!$L$2:$L$501,A30&amp;"|"&amp;B30,Lembur!$I$2:$I$501)</x:f>
        <x:v>0</x:v>
      </x:c>
      <x:c r="V30" s="48" t="n">
        <x:f>K30*IFERROR(VLOOKUP("Uang Makan / Hari",Komponen!$A:$E,5,FALSE),0)</x:f>
        <x:v>0</x:v>
      </x:c>
      <x:c r="W30" s="48" t="n">
        <x:f>0</x:f>
        <x:v>0</x:v>
      </x:c>
      <x:c r="X30" s="48" t="n">
        <x:f>SUM(P30:W30)</x:f>
        <x:v>0</x:v>
      </x:c>
      <x:c r="Y30" s="48" t="n">
        <x:f>O30*IFERROR(VLOOKUP("Potongan Alpha",Komponen!$A:$E,5,FALSE),0)</x:f>
        <x:v>0</x:v>
      </x:c>
      <x:c r="Z30" s="48" t="n">
        <x:f>L30*IFERROR(VLOOKUP("Potongan Telat",Komponen!$A:$E,5,FALSE),0)</x:f>
        <x:v>0</x:v>
      </x:c>
      <x:c r="AA30" s="48" t="n">
        <x:f>0</x:f>
        <x:v>0</x:v>
      </x:c>
      <x:c r="AB30" s="48" t="n">
        <x:f>SUM(Y30:AA30)</x:f>
        <x:v>0</x:v>
      </x:c>
      <x:c r="AC30" s="48" t="n">
        <x:f>0</x:f>
        <x:v>0</x:v>
      </x:c>
      <x:c r="AD30" s="48" t="n">
        <x:f>X30-AB30+AC30</x:f>
        <x:v>0</x:v>
      </x:c>
      <x:c r="AE30" s="41" t="str">
        <x:f>IFERROR(VLOOKUP(B30,Karyawan!$A:$L,10,FALSE),"")</x:f>
      </x:c>
      <x:c r="AF30" s="41" t="str">
        <x:f>IF(AD30&lt;=0,"Cek gaji bersih",IF(P30&lt;=0,"Cek gaji pokok",IF(H30="","Cek jabatan",IF(G30="","Cek golongan","OK"))))</x:f>
        <x:v>Cek gaji bersih</x:v>
      </x:c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 t="n">
        <x:f>B31</x:f>
        <x:v>0</x:v>
      </x:c>
      <x:c r="D31" s="41" t="str">
        <x:f>IFERROR(VLOOKUP(B31,Karyawan!$A:$L,2,FALSE),"")</x:f>
      </x:c>
      <x:c r="E31" s="41" t="str">
        <x:f>IFERROR(VLOOKUP(B31,Karyawan!$A:$L,3,FALSE),"")</x:f>
      </x:c>
      <x:c r="F31" s="41" t="n">
        <x:f>IFERROR(VLOOKUP(B31,Karyawan!$A:$L,8,FALSE),0)</x:f>
        <x:v>0</x:v>
      </x:c>
      <x:c r="G31" s="41" t="str">
        <x:f>IFERROR(VLOOKUP(B31,Karyawan!$A:$L,6,FALSE),"")</x:f>
      </x:c>
      <x:c r="H31" s="41" t="str">
        <x:f>IFERROR(VLOOKUP(B31,Karyawan!$A:$L,4,FALSE),"")</x:f>
      </x:c>
      <x:c r="I31" s="41" t="str">
        <x:f>IFERROR(VLOOKUP(B31,Karyawan!$A:$L,5,FALSE),"")</x:f>
      </x:c>
      <x:c r="J31" s="41" t="n">
        <x:f>24</x:f>
        <x:v>24</x:v>
      </x:c>
      <x:c r="K31" s="41" t="n">
        <x:f>24</x:f>
        <x:v>24</x:v>
      </x:c>
      <x:c r="L31" s="41" t="n">
        <x:f>0</x:f>
        <x:v>0</x:v>
      </x:c>
      <x:c r="M31" s="41" t="n">
        <x:f>0</x:f>
        <x:v>0</x:v>
      </x:c>
      <x:c r="N31" s="41" t="n">
        <x:f>0</x:f>
        <x:v>0</x:v>
      </x:c>
      <x:c r="O31" s="41" t="n">
        <x:f>0</x:f>
        <x:v>0</x:v>
      </x:c>
      <x:c r="P31" s="48" t="n">
        <x:f>IFERROR(VLOOKUP(G31,Golongan!$B:$E,2,FALSE),0)</x:f>
        <x:v>0</x:v>
      </x:c>
      <x:c r="Q31" s="48" t="n">
        <x:f>IFERROR(VLOOKUP(I31,Jabatan!$B:$E,3,FALSE),0)</x:f>
        <x:v>0</x:v>
      </x:c>
      <x:c r="R31" s="48" t="n">
        <x:f>IF(J31&gt;0,IF(K31&gt;=J31,IFERROR(VLOOKUP(G31,Golongan!$B:$E,4,FALSE),0),K31*IFERROR(VLOOKUP(G31,Golongan!$B:$E,3,FALSE),0)),0)</x:f>
        <x:v>0</x:v>
      </x:c>
      <x:c r="S31" s="48" t="n">
        <x:f>IFERROR(VLOOKUP(I31,Jabatan!$B:$E,4,FALSE),0)</x:f>
        <x:v>0</x:v>
      </x:c>
      <x:c r="T31" s="48" t="n">
        <x:f>F31*IFERROR(VLOOKUP("Tunjangan Masa Kerja / Tahun",Komponen!$A:$E,5,FALSE),0)</x:f>
        <x:v>0</x:v>
      </x:c>
      <x:c r="U31" s="48" t="n">
        <x:f>SUMIF(Lembur!$L$2:$L$501,A31&amp;"|"&amp;B31,Lembur!$I$2:$I$501)</x:f>
        <x:v>0</x:v>
      </x:c>
      <x:c r="V31" s="48" t="n">
        <x:f>K31*IFERROR(VLOOKUP("Uang Makan / Hari",Komponen!$A:$E,5,FALSE),0)</x:f>
        <x:v>0</x:v>
      </x:c>
      <x:c r="W31" s="48" t="n">
        <x:f>0</x:f>
        <x:v>0</x:v>
      </x:c>
      <x:c r="X31" s="48" t="n">
        <x:f>SUM(P31:W31)</x:f>
        <x:v>0</x:v>
      </x:c>
      <x:c r="Y31" s="48" t="n">
        <x:f>O31*IFERROR(VLOOKUP("Potongan Alpha",Komponen!$A:$E,5,FALSE),0)</x:f>
        <x:v>0</x:v>
      </x:c>
      <x:c r="Z31" s="48" t="n">
        <x:f>L31*IFERROR(VLOOKUP("Potongan Telat",Komponen!$A:$E,5,FALSE),0)</x:f>
        <x:v>0</x:v>
      </x:c>
      <x:c r="AA31" s="48" t="n">
        <x:f>0</x:f>
        <x:v>0</x:v>
      </x:c>
      <x:c r="AB31" s="48" t="n">
        <x:f>SUM(Y31:AA31)</x:f>
        <x:v>0</x:v>
      </x:c>
      <x:c r="AC31" s="48" t="n">
        <x:f>0</x:f>
        <x:v>0</x:v>
      </x:c>
      <x:c r="AD31" s="48" t="n">
        <x:f>X31-AB31+AC31</x:f>
        <x:v>0</x:v>
      </x:c>
      <x:c r="AE31" s="41" t="str">
        <x:f>IFERROR(VLOOKUP(B31,Karyawan!$A:$L,10,FALSE),"")</x:f>
      </x:c>
      <x:c r="AF31" s="41" t="str">
        <x:f>IF(AD31&lt;=0,"Cek gaji bersih",IF(P31&lt;=0,"Cek gaji pokok",IF(H31="","Cek jabatan",IF(G31="","Cek golongan","OK"))))</x:f>
        <x:v>Cek gaji bersih</x:v>
      </x:c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 t="n">
        <x:f>B32</x:f>
        <x:v>0</x:v>
      </x:c>
      <x:c r="D32" s="41" t="str">
        <x:f>IFERROR(VLOOKUP(B32,Karyawan!$A:$L,2,FALSE),"")</x:f>
      </x:c>
      <x:c r="E32" s="41" t="str">
        <x:f>IFERROR(VLOOKUP(B32,Karyawan!$A:$L,3,FALSE),"")</x:f>
      </x:c>
      <x:c r="F32" s="41" t="n">
        <x:f>IFERROR(VLOOKUP(B32,Karyawan!$A:$L,8,FALSE),0)</x:f>
        <x:v>0</x:v>
      </x:c>
      <x:c r="G32" s="41" t="str">
        <x:f>IFERROR(VLOOKUP(B32,Karyawan!$A:$L,6,FALSE),"")</x:f>
      </x:c>
      <x:c r="H32" s="41" t="str">
        <x:f>IFERROR(VLOOKUP(B32,Karyawan!$A:$L,4,FALSE),"")</x:f>
      </x:c>
      <x:c r="I32" s="41" t="str">
        <x:f>IFERROR(VLOOKUP(B32,Karyawan!$A:$L,5,FALSE),"")</x:f>
      </x:c>
      <x:c r="J32" s="41" t="n">
        <x:f>24</x:f>
        <x:v>24</x:v>
      </x:c>
      <x:c r="K32" s="41" t="n">
        <x:f>24</x:f>
        <x:v>24</x:v>
      </x:c>
      <x:c r="L32" s="41" t="n">
        <x:f>0</x:f>
        <x:v>0</x:v>
      </x:c>
      <x:c r="M32" s="41" t="n">
        <x:f>0</x:f>
        <x:v>0</x:v>
      </x:c>
      <x:c r="N32" s="41" t="n">
        <x:f>0</x:f>
        <x:v>0</x:v>
      </x:c>
      <x:c r="O32" s="41" t="n">
        <x:f>0</x:f>
        <x:v>0</x:v>
      </x:c>
      <x:c r="P32" s="48" t="n">
        <x:f>IFERROR(VLOOKUP(G32,Golongan!$B:$E,2,FALSE),0)</x:f>
        <x:v>0</x:v>
      </x:c>
      <x:c r="Q32" s="48" t="n">
        <x:f>IFERROR(VLOOKUP(I32,Jabatan!$B:$E,3,FALSE),0)</x:f>
        <x:v>0</x:v>
      </x:c>
      <x:c r="R32" s="48" t="n">
        <x:f>IF(J32&gt;0,IF(K32&gt;=J32,IFERROR(VLOOKUP(G32,Golongan!$B:$E,4,FALSE),0),K32*IFERROR(VLOOKUP(G32,Golongan!$B:$E,3,FALSE),0)),0)</x:f>
        <x:v>0</x:v>
      </x:c>
      <x:c r="S32" s="48" t="n">
        <x:f>IFERROR(VLOOKUP(I32,Jabatan!$B:$E,4,FALSE),0)</x:f>
        <x:v>0</x:v>
      </x:c>
      <x:c r="T32" s="48" t="n">
        <x:f>F32*IFERROR(VLOOKUP("Tunjangan Masa Kerja / Tahun",Komponen!$A:$E,5,FALSE),0)</x:f>
        <x:v>0</x:v>
      </x:c>
      <x:c r="U32" s="48" t="n">
        <x:f>SUMIF(Lembur!$L$2:$L$501,A32&amp;"|"&amp;B32,Lembur!$I$2:$I$501)</x:f>
        <x:v>0</x:v>
      </x:c>
      <x:c r="V32" s="48" t="n">
        <x:f>K32*IFERROR(VLOOKUP("Uang Makan / Hari",Komponen!$A:$E,5,FALSE),0)</x:f>
        <x:v>0</x:v>
      </x:c>
      <x:c r="W32" s="48" t="n">
        <x:f>0</x:f>
        <x:v>0</x:v>
      </x:c>
      <x:c r="X32" s="48" t="n">
        <x:f>SUM(P32:W32)</x:f>
        <x:v>0</x:v>
      </x:c>
      <x:c r="Y32" s="48" t="n">
        <x:f>O32*IFERROR(VLOOKUP("Potongan Alpha",Komponen!$A:$E,5,FALSE),0)</x:f>
        <x:v>0</x:v>
      </x:c>
      <x:c r="Z32" s="48" t="n">
        <x:f>L32*IFERROR(VLOOKUP("Potongan Telat",Komponen!$A:$E,5,FALSE),0)</x:f>
        <x:v>0</x:v>
      </x:c>
      <x:c r="AA32" s="48" t="n">
        <x:f>0</x:f>
        <x:v>0</x:v>
      </x:c>
      <x:c r="AB32" s="48" t="n">
        <x:f>SUM(Y32:AA32)</x:f>
        <x:v>0</x:v>
      </x:c>
      <x:c r="AC32" s="48" t="n">
        <x:f>0</x:f>
        <x:v>0</x:v>
      </x:c>
      <x:c r="AD32" s="48" t="n">
        <x:f>X32-AB32+AC32</x:f>
        <x:v>0</x:v>
      </x:c>
      <x:c r="AE32" s="41" t="str">
        <x:f>IFERROR(VLOOKUP(B32,Karyawan!$A:$L,10,FALSE),"")</x:f>
      </x:c>
      <x:c r="AF32" s="41" t="str">
        <x:f>IF(AD32&lt;=0,"Cek gaji bersih",IF(P32&lt;=0,"Cek gaji pokok",IF(H32="","Cek jabatan",IF(G32="","Cek golongan","OK"))))</x:f>
        <x:v>Cek gaji bersih</x:v>
      </x:c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 t="n">
        <x:f>B33</x:f>
        <x:v>0</x:v>
      </x:c>
      <x:c r="D33" s="41" t="str">
        <x:f>IFERROR(VLOOKUP(B33,Karyawan!$A:$L,2,FALSE),"")</x:f>
      </x:c>
      <x:c r="E33" s="41" t="str">
        <x:f>IFERROR(VLOOKUP(B33,Karyawan!$A:$L,3,FALSE),"")</x:f>
      </x:c>
      <x:c r="F33" s="41" t="n">
        <x:f>IFERROR(VLOOKUP(B33,Karyawan!$A:$L,8,FALSE),0)</x:f>
        <x:v>0</x:v>
      </x:c>
      <x:c r="G33" s="41" t="str">
        <x:f>IFERROR(VLOOKUP(B33,Karyawan!$A:$L,6,FALSE),"")</x:f>
      </x:c>
      <x:c r="H33" s="41" t="str">
        <x:f>IFERROR(VLOOKUP(B33,Karyawan!$A:$L,4,FALSE),"")</x:f>
      </x:c>
      <x:c r="I33" s="41" t="str">
        <x:f>IFERROR(VLOOKUP(B33,Karyawan!$A:$L,5,FALSE),"")</x:f>
      </x:c>
      <x:c r="J33" s="41" t="n">
        <x:f>24</x:f>
        <x:v>24</x:v>
      </x:c>
      <x:c r="K33" s="41" t="n">
        <x:f>24</x:f>
        <x:v>24</x:v>
      </x:c>
      <x:c r="L33" s="41" t="n">
        <x:f>0</x:f>
        <x:v>0</x:v>
      </x:c>
      <x:c r="M33" s="41" t="n">
        <x:f>0</x:f>
        <x:v>0</x:v>
      </x:c>
      <x:c r="N33" s="41" t="n">
        <x:f>0</x:f>
        <x:v>0</x:v>
      </x:c>
      <x:c r="O33" s="41" t="n">
        <x:f>0</x:f>
        <x:v>0</x:v>
      </x:c>
      <x:c r="P33" s="48" t="n">
        <x:f>IFERROR(VLOOKUP(G33,Golongan!$B:$E,2,FALSE),0)</x:f>
        <x:v>0</x:v>
      </x:c>
      <x:c r="Q33" s="48" t="n">
        <x:f>IFERROR(VLOOKUP(I33,Jabatan!$B:$E,3,FALSE),0)</x:f>
        <x:v>0</x:v>
      </x:c>
      <x:c r="R33" s="48" t="n">
        <x:f>IF(J33&gt;0,IF(K33&gt;=J33,IFERROR(VLOOKUP(G33,Golongan!$B:$E,4,FALSE),0),K33*IFERROR(VLOOKUP(G33,Golongan!$B:$E,3,FALSE),0)),0)</x:f>
        <x:v>0</x:v>
      </x:c>
      <x:c r="S33" s="48" t="n">
        <x:f>IFERROR(VLOOKUP(I33,Jabatan!$B:$E,4,FALSE),0)</x:f>
        <x:v>0</x:v>
      </x:c>
      <x:c r="T33" s="48" t="n">
        <x:f>F33*IFERROR(VLOOKUP("Tunjangan Masa Kerja / Tahun",Komponen!$A:$E,5,FALSE),0)</x:f>
        <x:v>0</x:v>
      </x:c>
      <x:c r="U33" s="48" t="n">
        <x:f>SUMIF(Lembur!$L$2:$L$501,A33&amp;"|"&amp;B33,Lembur!$I$2:$I$501)</x:f>
        <x:v>0</x:v>
      </x:c>
      <x:c r="V33" s="48" t="n">
        <x:f>K33*IFERROR(VLOOKUP("Uang Makan / Hari",Komponen!$A:$E,5,FALSE),0)</x:f>
        <x:v>0</x:v>
      </x:c>
      <x:c r="W33" s="48" t="n">
        <x:f>0</x:f>
        <x:v>0</x:v>
      </x:c>
      <x:c r="X33" s="48" t="n">
        <x:f>SUM(P33:W33)</x:f>
        <x:v>0</x:v>
      </x:c>
      <x:c r="Y33" s="48" t="n">
        <x:f>O33*IFERROR(VLOOKUP("Potongan Alpha",Komponen!$A:$E,5,FALSE),0)</x:f>
        <x:v>0</x:v>
      </x:c>
      <x:c r="Z33" s="48" t="n">
        <x:f>L33*IFERROR(VLOOKUP("Potongan Telat",Komponen!$A:$E,5,FALSE),0)</x:f>
        <x:v>0</x:v>
      </x:c>
      <x:c r="AA33" s="48" t="n">
        <x:f>0</x:f>
        <x:v>0</x:v>
      </x:c>
      <x:c r="AB33" s="48" t="n">
        <x:f>SUM(Y33:AA33)</x:f>
        <x:v>0</x:v>
      </x:c>
      <x:c r="AC33" s="48" t="n">
        <x:f>0</x:f>
        <x:v>0</x:v>
      </x:c>
      <x:c r="AD33" s="48" t="n">
        <x:f>X33-AB33+AC33</x:f>
        <x:v>0</x:v>
      </x:c>
      <x:c r="AE33" s="41" t="str">
        <x:f>IFERROR(VLOOKUP(B33,Karyawan!$A:$L,10,FALSE),"")</x:f>
      </x:c>
      <x:c r="AF33" s="41" t="str">
        <x:f>IF(AD33&lt;=0,"Cek gaji bersih",IF(P33&lt;=0,"Cek gaji pokok",IF(H33="","Cek jabatan",IF(G33="","Cek golongan","OK"))))</x:f>
        <x:v>Cek gaji bersih</x:v>
      </x:c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 t="n">
        <x:f>B34</x:f>
        <x:v>0</x:v>
      </x:c>
      <x:c r="D34" s="41" t="str">
        <x:f>IFERROR(VLOOKUP(B34,Karyawan!$A:$L,2,FALSE),"")</x:f>
      </x:c>
      <x:c r="E34" s="41" t="str">
        <x:f>IFERROR(VLOOKUP(B34,Karyawan!$A:$L,3,FALSE),"")</x:f>
      </x:c>
      <x:c r="F34" s="41" t="n">
        <x:f>IFERROR(VLOOKUP(B34,Karyawan!$A:$L,8,FALSE),0)</x:f>
        <x:v>0</x:v>
      </x:c>
      <x:c r="G34" s="41" t="str">
        <x:f>IFERROR(VLOOKUP(B34,Karyawan!$A:$L,6,FALSE),"")</x:f>
      </x:c>
      <x:c r="H34" s="41" t="str">
        <x:f>IFERROR(VLOOKUP(B34,Karyawan!$A:$L,4,FALSE),"")</x:f>
      </x:c>
      <x:c r="I34" s="41" t="str">
        <x:f>IFERROR(VLOOKUP(B34,Karyawan!$A:$L,5,FALSE),"")</x:f>
      </x:c>
      <x:c r="J34" s="41" t="n">
        <x:f>24</x:f>
        <x:v>24</x:v>
      </x:c>
      <x:c r="K34" s="41" t="n">
        <x:f>24</x:f>
        <x:v>24</x:v>
      </x:c>
      <x:c r="L34" s="41" t="n">
        <x:f>0</x:f>
        <x:v>0</x:v>
      </x:c>
      <x:c r="M34" s="41" t="n">
        <x:f>0</x:f>
        <x:v>0</x:v>
      </x:c>
      <x:c r="N34" s="41" t="n">
        <x:f>0</x:f>
        <x:v>0</x:v>
      </x:c>
      <x:c r="O34" s="41" t="n">
        <x:f>0</x:f>
        <x:v>0</x:v>
      </x:c>
      <x:c r="P34" s="48" t="n">
        <x:f>IFERROR(VLOOKUP(G34,Golongan!$B:$E,2,FALSE),0)</x:f>
        <x:v>0</x:v>
      </x:c>
      <x:c r="Q34" s="48" t="n">
        <x:f>IFERROR(VLOOKUP(I34,Jabatan!$B:$E,3,FALSE),0)</x:f>
        <x:v>0</x:v>
      </x:c>
      <x:c r="R34" s="48" t="n">
        <x:f>IF(J34&gt;0,IF(K34&gt;=J34,IFERROR(VLOOKUP(G34,Golongan!$B:$E,4,FALSE),0),K34*IFERROR(VLOOKUP(G34,Golongan!$B:$E,3,FALSE),0)),0)</x:f>
        <x:v>0</x:v>
      </x:c>
      <x:c r="S34" s="48" t="n">
        <x:f>IFERROR(VLOOKUP(I34,Jabatan!$B:$E,4,FALSE),0)</x:f>
        <x:v>0</x:v>
      </x:c>
      <x:c r="T34" s="48" t="n">
        <x:f>F34*IFERROR(VLOOKUP("Tunjangan Masa Kerja / Tahun",Komponen!$A:$E,5,FALSE),0)</x:f>
        <x:v>0</x:v>
      </x:c>
      <x:c r="U34" s="48" t="n">
        <x:f>SUMIF(Lembur!$L$2:$L$501,A34&amp;"|"&amp;B34,Lembur!$I$2:$I$501)</x:f>
        <x:v>0</x:v>
      </x:c>
      <x:c r="V34" s="48" t="n">
        <x:f>K34*IFERROR(VLOOKUP("Uang Makan / Hari",Komponen!$A:$E,5,FALSE),0)</x:f>
        <x:v>0</x:v>
      </x:c>
      <x:c r="W34" s="48" t="n">
        <x:f>0</x:f>
        <x:v>0</x:v>
      </x:c>
      <x:c r="X34" s="48" t="n">
        <x:f>SUM(P34:W34)</x:f>
        <x:v>0</x:v>
      </x:c>
      <x:c r="Y34" s="48" t="n">
        <x:f>O34*IFERROR(VLOOKUP("Potongan Alpha",Komponen!$A:$E,5,FALSE),0)</x:f>
        <x:v>0</x:v>
      </x:c>
      <x:c r="Z34" s="48" t="n">
        <x:f>L34*IFERROR(VLOOKUP("Potongan Telat",Komponen!$A:$E,5,FALSE),0)</x:f>
        <x:v>0</x:v>
      </x:c>
      <x:c r="AA34" s="48" t="n">
        <x:f>0</x:f>
        <x:v>0</x:v>
      </x:c>
      <x:c r="AB34" s="48" t="n">
        <x:f>SUM(Y34:AA34)</x:f>
        <x:v>0</x:v>
      </x:c>
      <x:c r="AC34" s="48" t="n">
        <x:f>0</x:f>
        <x:v>0</x:v>
      </x:c>
      <x:c r="AD34" s="48" t="n">
        <x:f>X34-AB34+AC34</x:f>
        <x:v>0</x:v>
      </x:c>
      <x:c r="AE34" s="41" t="str">
        <x:f>IFERROR(VLOOKUP(B34,Karyawan!$A:$L,10,FALSE),"")</x:f>
      </x:c>
      <x:c r="AF34" s="41" t="str">
        <x:f>IF(AD34&lt;=0,"Cek gaji bersih",IF(P34&lt;=0,"Cek gaji pokok",IF(H34="","Cek jabatan",IF(G34="","Cek golongan","OK"))))</x:f>
        <x:v>Cek gaji bersih</x:v>
      </x:c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 t="n">
        <x:f>B35</x:f>
        <x:v>0</x:v>
      </x:c>
      <x:c r="D35" s="41" t="str">
        <x:f>IFERROR(VLOOKUP(B35,Karyawan!$A:$L,2,FALSE),"")</x:f>
      </x:c>
      <x:c r="E35" s="41" t="str">
        <x:f>IFERROR(VLOOKUP(B35,Karyawan!$A:$L,3,FALSE),"")</x:f>
      </x:c>
      <x:c r="F35" s="41" t="n">
        <x:f>IFERROR(VLOOKUP(B35,Karyawan!$A:$L,8,FALSE),0)</x:f>
        <x:v>0</x:v>
      </x:c>
      <x:c r="G35" s="41" t="str">
        <x:f>IFERROR(VLOOKUP(B35,Karyawan!$A:$L,6,FALSE),"")</x:f>
      </x:c>
      <x:c r="H35" s="41" t="str">
        <x:f>IFERROR(VLOOKUP(B35,Karyawan!$A:$L,4,FALSE),"")</x:f>
      </x:c>
      <x:c r="I35" s="41" t="str">
        <x:f>IFERROR(VLOOKUP(B35,Karyawan!$A:$L,5,FALSE),"")</x:f>
      </x:c>
      <x:c r="J35" s="41" t="n">
        <x:f>24</x:f>
        <x:v>24</x:v>
      </x:c>
      <x:c r="K35" s="41" t="n">
        <x:f>24</x:f>
        <x:v>24</x:v>
      </x:c>
      <x:c r="L35" s="41" t="n">
        <x:f>0</x:f>
        <x:v>0</x:v>
      </x:c>
      <x:c r="M35" s="41" t="n">
        <x:f>0</x:f>
        <x:v>0</x:v>
      </x:c>
      <x:c r="N35" s="41" t="n">
        <x:f>0</x:f>
        <x:v>0</x:v>
      </x:c>
      <x:c r="O35" s="41" t="n">
        <x:f>0</x:f>
        <x:v>0</x:v>
      </x:c>
      <x:c r="P35" s="48" t="n">
        <x:f>IFERROR(VLOOKUP(G35,Golongan!$B:$E,2,FALSE),0)</x:f>
        <x:v>0</x:v>
      </x:c>
      <x:c r="Q35" s="48" t="n">
        <x:f>IFERROR(VLOOKUP(I35,Jabatan!$B:$E,3,FALSE),0)</x:f>
        <x:v>0</x:v>
      </x:c>
      <x:c r="R35" s="48" t="n">
        <x:f>IF(J35&gt;0,IF(K35&gt;=J35,IFERROR(VLOOKUP(G35,Golongan!$B:$E,4,FALSE),0),K35*IFERROR(VLOOKUP(G35,Golongan!$B:$E,3,FALSE),0)),0)</x:f>
        <x:v>0</x:v>
      </x:c>
      <x:c r="S35" s="48" t="n">
        <x:f>IFERROR(VLOOKUP(I35,Jabatan!$B:$E,4,FALSE),0)</x:f>
        <x:v>0</x:v>
      </x:c>
      <x:c r="T35" s="48" t="n">
        <x:f>F35*IFERROR(VLOOKUP("Tunjangan Masa Kerja / Tahun",Komponen!$A:$E,5,FALSE),0)</x:f>
        <x:v>0</x:v>
      </x:c>
      <x:c r="U35" s="48" t="n">
        <x:f>SUMIF(Lembur!$L$2:$L$501,A35&amp;"|"&amp;B35,Lembur!$I$2:$I$501)</x:f>
        <x:v>0</x:v>
      </x:c>
      <x:c r="V35" s="48" t="n">
        <x:f>K35*IFERROR(VLOOKUP("Uang Makan / Hari",Komponen!$A:$E,5,FALSE),0)</x:f>
        <x:v>0</x:v>
      </x:c>
      <x:c r="W35" s="48" t="n">
        <x:f>0</x:f>
        <x:v>0</x:v>
      </x:c>
      <x:c r="X35" s="48" t="n">
        <x:f>SUM(P35:W35)</x:f>
        <x:v>0</x:v>
      </x:c>
      <x:c r="Y35" s="48" t="n">
        <x:f>O35*IFERROR(VLOOKUP("Potongan Alpha",Komponen!$A:$E,5,FALSE),0)</x:f>
        <x:v>0</x:v>
      </x:c>
      <x:c r="Z35" s="48" t="n">
        <x:f>L35*IFERROR(VLOOKUP("Potongan Telat",Komponen!$A:$E,5,FALSE),0)</x:f>
        <x:v>0</x:v>
      </x:c>
      <x:c r="AA35" s="48" t="n">
        <x:f>0</x:f>
        <x:v>0</x:v>
      </x:c>
      <x:c r="AB35" s="48" t="n">
        <x:f>SUM(Y35:AA35)</x:f>
        <x:v>0</x:v>
      </x:c>
      <x:c r="AC35" s="48" t="n">
        <x:f>0</x:f>
        <x:v>0</x:v>
      </x:c>
      <x:c r="AD35" s="48" t="n">
        <x:f>X35-AB35+AC35</x:f>
        <x:v>0</x:v>
      </x:c>
      <x:c r="AE35" s="41" t="str">
        <x:f>IFERROR(VLOOKUP(B35,Karyawan!$A:$L,10,FALSE),"")</x:f>
      </x:c>
      <x:c r="AF35" s="41" t="str">
        <x:f>IF(AD35&lt;=0,"Cek gaji bersih",IF(P35&lt;=0,"Cek gaji pokok",IF(H35="","Cek jabatan",IF(G35="","Cek golongan","OK"))))</x:f>
        <x:v>Cek gaji bersih</x:v>
      </x:c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 t="n">
        <x:f>B36</x:f>
        <x:v>0</x:v>
      </x:c>
      <x:c r="D36" s="41" t="str">
        <x:f>IFERROR(VLOOKUP(B36,Karyawan!$A:$L,2,FALSE),"")</x:f>
      </x:c>
      <x:c r="E36" s="41" t="str">
        <x:f>IFERROR(VLOOKUP(B36,Karyawan!$A:$L,3,FALSE),"")</x:f>
      </x:c>
      <x:c r="F36" s="41" t="n">
        <x:f>IFERROR(VLOOKUP(B36,Karyawan!$A:$L,8,FALSE),0)</x:f>
        <x:v>0</x:v>
      </x:c>
      <x:c r="G36" s="41" t="str">
        <x:f>IFERROR(VLOOKUP(B36,Karyawan!$A:$L,6,FALSE),"")</x:f>
      </x:c>
      <x:c r="H36" s="41" t="str">
        <x:f>IFERROR(VLOOKUP(B36,Karyawan!$A:$L,4,FALSE),"")</x:f>
      </x:c>
      <x:c r="I36" s="41" t="str">
        <x:f>IFERROR(VLOOKUP(B36,Karyawan!$A:$L,5,FALSE),"")</x:f>
      </x:c>
      <x:c r="J36" s="41" t="n">
        <x:f>24</x:f>
        <x:v>24</x:v>
      </x:c>
      <x:c r="K36" s="41" t="n">
        <x:f>24</x:f>
        <x:v>24</x:v>
      </x:c>
      <x:c r="L36" s="41" t="n">
        <x:f>0</x:f>
        <x:v>0</x:v>
      </x:c>
      <x:c r="M36" s="41" t="n">
        <x:f>0</x:f>
        <x:v>0</x:v>
      </x:c>
      <x:c r="N36" s="41" t="n">
        <x:f>0</x:f>
        <x:v>0</x:v>
      </x:c>
      <x:c r="O36" s="41" t="n">
        <x:f>0</x:f>
        <x:v>0</x:v>
      </x:c>
      <x:c r="P36" s="48" t="n">
        <x:f>IFERROR(VLOOKUP(G36,Golongan!$B:$E,2,FALSE),0)</x:f>
        <x:v>0</x:v>
      </x:c>
      <x:c r="Q36" s="48" t="n">
        <x:f>IFERROR(VLOOKUP(I36,Jabatan!$B:$E,3,FALSE),0)</x:f>
        <x:v>0</x:v>
      </x:c>
      <x:c r="R36" s="48" t="n">
        <x:f>IF(J36&gt;0,IF(K36&gt;=J36,IFERROR(VLOOKUP(G36,Golongan!$B:$E,4,FALSE),0),K36*IFERROR(VLOOKUP(G36,Golongan!$B:$E,3,FALSE),0)),0)</x:f>
        <x:v>0</x:v>
      </x:c>
      <x:c r="S36" s="48" t="n">
        <x:f>IFERROR(VLOOKUP(I36,Jabatan!$B:$E,4,FALSE),0)</x:f>
        <x:v>0</x:v>
      </x:c>
      <x:c r="T36" s="48" t="n">
        <x:f>F36*IFERROR(VLOOKUP("Tunjangan Masa Kerja / Tahun",Komponen!$A:$E,5,FALSE),0)</x:f>
        <x:v>0</x:v>
      </x:c>
      <x:c r="U36" s="48" t="n">
        <x:f>SUMIF(Lembur!$L$2:$L$501,A36&amp;"|"&amp;B36,Lembur!$I$2:$I$501)</x:f>
        <x:v>0</x:v>
      </x:c>
      <x:c r="V36" s="48" t="n">
        <x:f>K36*IFERROR(VLOOKUP("Uang Makan / Hari",Komponen!$A:$E,5,FALSE),0)</x:f>
        <x:v>0</x:v>
      </x:c>
      <x:c r="W36" s="48" t="n">
        <x:f>0</x:f>
        <x:v>0</x:v>
      </x:c>
      <x:c r="X36" s="48" t="n">
        <x:f>SUM(P36:W36)</x:f>
        <x:v>0</x:v>
      </x:c>
      <x:c r="Y36" s="48" t="n">
        <x:f>O36*IFERROR(VLOOKUP("Potongan Alpha",Komponen!$A:$E,5,FALSE),0)</x:f>
        <x:v>0</x:v>
      </x:c>
      <x:c r="Z36" s="48" t="n">
        <x:f>L36*IFERROR(VLOOKUP("Potongan Telat",Komponen!$A:$E,5,FALSE),0)</x:f>
        <x:v>0</x:v>
      </x:c>
      <x:c r="AA36" s="48" t="n">
        <x:f>0</x:f>
        <x:v>0</x:v>
      </x:c>
      <x:c r="AB36" s="48" t="n">
        <x:f>SUM(Y36:AA36)</x:f>
        <x:v>0</x:v>
      </x:c>
      <x:c r="AC36" s="48" t="n">
        <x:f>0</x:f>
        <x:v>0</x:v>
      </x:c>
      <x:c r="AD36" s="48" t="n">
        <x:f>X36-AB36+AC36</x:f>
        <x:v>0</x:v>
      </x:c>
      <x:c r="AE36" s="41" t="str">
        <x:f>IFERROR(VLOOKUP(B36,Karyawan!$A:$L,10,FALSE),"")</x:f>
      </x:c>
      <x:c r="AF36" s="41" t="str">
        <x:f>IF(AD36&lt;=0,"Cek gaji bersih",IF(P36&lt;=0,"Cek gaji pokok",IF(H36="","Cek jabatan",IF(G36="","Cek golongan","OK"))))</x:f>
        <x:v>Cek gaji bersih</x:v>
      </x:c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 t="n">
        <x:f>B37</x:f>
        <x:v>0</x:v>
      </x:c>
      <x:c r="D37" s="41" t="str">
        <x:f>IFERROR(VLOOKUP(B37,Karyawan!$A:$L,2,FALSE),"")</x:f>
      </x:c>
      <x:c r="E37" s="41" t="str">
        <x:f>IFERROR(VLOOKUP(B37,Karyawan!$A:$L,3,FALSE),"")</x:f>
      </x:c>
      <x:c r="F37" s="41" t="n">
        <x:f>IFERROR(VLOOKUP(B37,Karyawan!$A:$L,8,FALSE),0)</x:f>
        <x:v>0</x:v>
      </x:c>
      <x:c r="G37" s="41" t="str">
        <x:f>IFERROR(VLOOKUP(B37,Karyawan!$A:$L,6,FALSE),"")</x:f>
      </x:c>
      <x:c r="H37" s="41" t="str">
        <x:f>IFERROR(VLOOKUP(B37,Karyawan!$A:$L,4,FALSE),"")</x:f>
      </x:c>
      <x:c r="I37" s="41" t="str">
        <x:f>IFERROR(VLOOKUP(B37,Karyawan!$A:$L,5,FALSE),"")</x:f>
      </x:c>
      <x:c r="J37" s="41" t="n">
        <x:f>24</x:f>
        <x:v>24</x:v>
      </x:c>
      <x:c r="K37" s="41" t="n">
        <x:f>24</x:f>
        <x:v>24</x:v>
      </x:c>
      <x:c r="L37" s="41" t="n">
        <x:f>0</x:f>
        <x:v>0</x:v>
      </x:c>
      <x:c r="M37" s="41" t="n">
        <x:f>0</x:f>
        <x:v>0</x:v>
      </x:c>
      <x:c r="N37" s="41" t="n">
        <x:f>0</x:f>
        <x:v>0</x:v>
      </x:c>
      <x:c r="O37" s="41" t="n">
        <x:f>0</x:f>
        <x:v>0</x:v>
      </x:c>
      <x:c r="P37" s="48" t="n">
        <x:f>IFERROR(VLOOKUP(G37,Golongan!$B:$E,2,FALSE),0)</x:f>
        <x:v>0</x:v>
      </x:c>
      <x:c r="Q37" s="48" t="n">
        <x:f>IFERROR(VLOOKUP(I37,Jabatan!$B:$E,3,FALSE),0)</x:f>
        <x:v>0</x:v>
      </x:c>
      <x:c r="R37" s="48" t="n">
        <x:f>IF(J37&gt;0,IF(K37&gt;=J37,IFERROR(VLOOKUP(G37,Golongan!$B:$E,4,FALSE),0),K37*IFERROR(VLOOKUP(G37,Golongan!$B:$E,3,FALSE),0)),0)</x:f>
        <x:v>0</x:v>
      </x:c>
      <x:c r="S37" s="48" t="n">
        <x:f>IFERROR(VLOOKUP(I37,Jabatan!$B:$E,4,FALSE),0)</x:f>
        <x:v>0</x:v>
      </x:c>
      <x:c r="T37" s="48" t="n">
        <x:f>F37*IFERROR(VLOOKUP("Tunjangan Masa Kerja / Tahun",Komponen!$A:$E,5,FALSE),0)</x:f>
        <x:v>0</x:v>
      </x:c>
      <x:c r="U37" s="48" t="n">
        <x:f>SUMIF(Lembur!$L$2:$L$501,A37&amp;"|"&amp;B37,Lembur!$I$2:$I$501)</x:f>
        <x:v>0</x:v>
      </x:c>
      <x:c r="V37" s="48" t="n">
        <x:f>K37*IFERROR(VLOOKUP("Uang Makan / Hari",Komponen!$A:$E,5,FALSE),0)</x:f>
        <x:v>0</x:v>
      </x:c>
      <x:c r="W37" s="48" t="n">
        <x:f>0</x:f>
        <x:v>0</x:v>
      </x:c>
      <x:c r="X37" s="48" t="n">
        <x:f>SUM(P37:W37)</x:f>
        <x:v>0</x:v>
      </x:c>
      <x:c r="Y37" s="48" t="n">
        <x:f>O37*IFERROR(VLOOKUP("Potongan Alpha",Komponen!$A:$E,5,FALSE),0)</x:f>
        <x:v>0</x:v>
      </x:c>
      <x:c r="Z37" s="48" t="n">
        <x:f>L37*IFERROR(VLOOKUP("Potongan Telat",Komponen!$A:$E,5,FALSE),0)</x:f>
        <x:v>0</x:v>
      </x:c>
      <x:c r="AA37" s="48" t="n">
        <x:f>0</x:f>
        <x:v>0</x:v>
      </x:c>
      <x:c r="AB37" s="48" t="n">
        <x:f>SUM(Y37:AA37)</x:f>
        <x:v>0</x:v>
      </x:c>
      <x:c r="AC37" s="48" t="n">
        <x:f>0</x:f>
        <x:v>0</x:v>
      </x:c>
      <x:c r="AD37" s="48" t="n">
        <x:f>X37-AB37+AC37</x:f>
        <x:v>0</x:v>
      </x:c>
      <x:c r="AE37" s="41" t="str">
        <x:f>IFERROR(VLOOKUP(B37,Karyawan!$A:$L,10,FALSE),"")</x:f>
      </x:c>
      <x:c r="AF37" s="41" t="str">
        <x:f>IF(AD37&lt;=0,"Cek gaji bersih",IF(P37&lt;=0,"Cek gaji pokok",IF(H37="","Cek jabatan",IF(G37="","Cek golongan","OK"))))</x:f>
        <x:v>Cek gaji bersih</x:v>
      </x:c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 t="n">
        <x:f>B38</x:f>
        <x:v>0</x:v>
      </x:c>
      <x:c r="D38" s="41" t="str">
        <x:f>IFERROR(VLOOKUP(B38,Karyawan!$A:$L,2,FALSE),"")</x:f>
      </x:c>
      <x:c r="E38" s="41" t="str">
        <x:f>IFERROR(VLOOKUP(B38,Karyawan!$A:$L,3,FALSE),"")</x:f>
      </x:c>
      <x:c r="F38" s="41" t="n">
        <x:f>IFERROR(VLOOKUP(B38,Karyawan!$A:$L,8,FALSE),0)</x:f>
        <x:v>0</x:v>
      </x:c>
      <x:c r="G38" s="41" t="str">
        <x:f>IFERROR(VLOOKUP(B38,Karyawan!$A:$L,6,FALSE),"")</x:f>
      </x:c>
      <x:c r="H38" s="41" t="str">
        <x:f>IFERROR(VLOOKUP(B38,Karyawan!$A:$L,4,FALSE),"")</x:f>
      </x:c>
      <x:c r="I38" s="41" t="str">
        <x:f>IFERROR(VLOOKUP(B38,Karyawan!$A:$L,5,FALSE),"")</x:f>
      </x:c>
      <x:c r="J38" s="41" t="n">
        <x:f>24</x:f>
        <x:v>24</x:v>
      </x:c>
      <x:c r="K38" s="41" t="n">
        <x:f>24</x:f>
        <x:v>24</x:v>
      </x:c>
      <x:c r="L38" s="41" t="n">
        <x:f>0</x:f>
        <x:v>0</x:v>
      </x:c>
      <x:c r="M38" s="41" t="n">
        <x:f>0</x:f>
        <x:v>0</x:v>
      </x:c>
      <x:c r="N38" s="41" t="n">
        <x:f>0</x:f>
        <x:v>0</x:v>
      </x:c>
      <x:c r="O38" s="41" t="n">
        <x:f>0</x:f>
        <x:v>0</x:v>
      </x:c>
      <x:c r="P38" s="48" t="n">
        <x:f>IFERROR(VLOOKUP(G38,Golongan!$B:$E,2,FALSE),0)</x:f>
        <x:v>0</x:v>
      </x:c>
      <x:c r="Q38" s="48" t="n">
        <x:f>IFERROR(VLOOKUP(I38,Jabatan!$B:$E,3,FALSE),0)</x:f>
        <x:v>0</x:v>
      </x:c>
      <x:c r="R38" s="48" t="n">
        <x:f>IF(J38&gt;0,IF(K38&gt;=J38,IFERROR(VLOOKUP(G38,Golongan!$B:$E,4,FALSE),0),K38*IFERROR(VLOOKUP(G38,Golongan!$B:$E,3,FALSE),0)),0)</x:f>
        <x:v>0</x:v>
      </x:c>
      <x:c r="S38" s="48" t="n">
        <x:f>IFERROR(VLOOKUP(I38,Jabatan!$B:$E,4,FALSE),0)</x:f>
        <x:v>0</x:v>
      </x:c>
      <x:c r="T38" s="48" t="n">
        <x:f>F38*IFERROR(VLOOKUP("Tunjangan Masa Kerja / Tahun",Komponen!$A:$E,5,FALSE),0)</x:f>
        <x:v>0</x:v>
      </x:c>
      <x:c r="U38" s="48" t="n">
        <x:f>SUMIF(Lembur!$L$2:$L$501,A38&amp;"|"&amp;B38,Lembur!$I$2:$I$501)</x:f>
        <x:v>0</x:v>
      </x:c>
      <x:c r="V38" s="48" t="n">
        <x:f>K38*IFERROR(VLOOKUP("Uang Makan / Hari",Komponen!$A:$E,5,FALSE),0)</x:f>
        <x:v>0</x:v>
      </x:c>
      <x:c r="W38" s="48" t="n">
        <x:f>0</x:f>
        <x:v>0</x:v>
      </x:c>
      <x:c r="X38" s="48" t="n">
        <x:f>SUM(P38:W38)</x:f>
        <x:v>0</x:v>
      </x:c>
      <x:c r="Y38" s="48" t="n">
        <x:f>O38*IFERROR(VLOOKUP("Potongan Alpha",Komponen!$A:$E,5,FALSE),0)</x:f>
        <x:v>0</x:v>
      </x:c>
      <x:c r="Z38" s="48" t="n">
        <x:f>L38*IFERROR(VLOOKUP("Potongan Telat",Komponen!$A:$E,5,FALSE),0)</x:f>
        <x:v>0</x:v>
      </x:c>
      <x:c r="AA38" s="48" t="n">
        <x:f>0</x:f>
        <x:v>0</x:v>
      </x:c>
      <x:c r="AB38" s="48" t="n">
        <x:f>SUM(Y38:AA38)</x:f>
        <x:v>0</x:v>
      </x:c>
      <x:c r="AC38" s="48" t="n">
        <x:f>0</x:f>
        <x:v>0</x:v>
      </x:c>
      <x:c r="AD38" s="48" t="n">
        <x:f>X38-AB38+AC38</x:f>
        <x:v>0</x:v>
      </x:c>
      <x:c r="AE38" s="41" t="str">
        <x:f>IFERROR(VLOOKUP(B38,Karyawan!$A:$L,10,FALSE),"")</x:f>
      </x:c>
      <x:c r="AF38" s="41" t="str">
        <x:f>IF(AD38&lt;=0,"Cek gaji bersih",IF(P38&lt;=0,"Cek gaji pokok",IF(H38="","Cek jabatan",IF(G38="","Cek golongan","OK"))))</x:f>
        <x:v>Cek gaji bersih</x:v>
      </x:c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 t="n">
        <x:f>B39</x:f>
        <x:v>0</x:v>
      </x:c>
      <x:c r="D39" s="41" t="str">
        <x:f>IFERROR(VLOOKUP(B39,Karyawan!$A:$L,2,FALSE),"")</x:f>
      </x:c>
      <x:c r="E39" s="41" t="str">
        <x:f>IFERROR(VLOOKUP(B39,Karyawan!$A:$L,3,FALSE),"")</x:f>
      </x:c>
      <x:c r="F39" s="41" t="n">
        <x:f>IFERROR(VLOOKUP(B39,Karyawan!$A:$L,8,FALSE),0)</x:f>
        <x:v>0</x:v>
      </x:c>
      <x:c r="G39" s="41" t="str">
        <x:f>IFERROR(VLOOKUP(B39,Karyawan!$A:$L,6,FALSE),"")</x:f>
      </x:c>
      <x:c r="H39" s="41" t="str">
        <x:f>IFERROR(VLOOKUP(B39,Karyawan!$A:$L,4,FALSE),"")</x:f>
      </x:c>
      <x:c r="I39" s="41" t="str">
        <x:f>IFERROR(VLOOKUP(B39,Karyawan!$A:$L,5,FALSE),"")</x:f>
      </x:c>
      <x:c r="J39" s="41" t="n">
        <x:f>24</x:f>
        <x:v>24</x:v>
      </x:c>
      <x:c r="K39" s="41" t="n">
        <x:f>24</x:f>
        <x:v>24</x:v>
      </x:c>
      <x:c r="L39" s="41" t="n">
        <x:f>0</x:f>
        <x:v>0</x:v>
      </x:c>
      <x:c r="M39" s="41" t="n">
        <x:f>0</x:f>
        <x:v>0</x:v>
      </x:c>
      <x:c r="N39" s="41" t="n">
        <x:f>0</x:f>
        <x:v>0</x:v>
      </x:c>
      <x:c r="O39" s="41" t="n">
        <x:f>0</x:f>
        <x:v>0</x:v>
      </x:c>
      <x:c r="P39" s="48" t="n">
        <x:f>IFERROR(VLOOKUP(G39,Golongan!$B:$E,2,FALSE),0)</x:f>
        <x:v>0</x:v>
      </x:c>
      <x:c r="Q39" s="48" t="n">
        <x:f>IFERROR(VLOOKUP(I39,Jabatan!$B:$E,3,FALSE),0)</x:f>
        <x:v>0</x:v>
      </x:c>
      <x:c r="R39" s="48" t="n">
        <x:f>IF(J39&gt;0,IF(K39&gt;=J39,IFERROR(VLOOKUP(G39,Golongan!$B:$E,4,FALSE),0),K39*IFERROR(VLOOKUP(G39,Golongan!$B:$E,3,FALSE),0)),0)</x:f>
        <x:v>0</x:v>
      </x:c>
      <x:c r="S39" s="48" t="n">
        <x:f>IFERROR(VLOOKUP(I39,Jabatan!$B:$E,4,FALSE),0)</x:f>
        <x:v>0</x:v>
      </x:c>
      <x:c r="T39" s="48" t="n">
        <x:f>F39*IFERROR(VLOOKUP("Tunjangan Masa Kerja / Tahun",Komponen!$A:$E,5,FALSE),0)</x:f>
        <x:v>0</x:v>
      </x:c>
      <x:c r="U39" s="48" t="n">
        <x:f>SUMIF(Lembur!$L$2:$L$501,A39&amp;"|"&amp;B39,Lembur!$I$2:$I$501)</x:f>
        <x:v>0</x:v>
      </x:c>
      <x:c r="V39" s="48" t="n">
        <x:f>K39*IFERROR(VLOOKUP("Uang Makan / Hari",Komponen!$A:$E,5,FALSE),0)</x:f>
        <x:v>0</x:v>
      </x:c>
      <x:c r="W39" s="48" t="n">
        <x:f>0</x:f>
        <x:v>0</x:v>
      </x:c>
      <x:c r="X39" s="48" t="n">
        <x:f>SUM(P39:W39)</x:f>
        <x:v>0</x:v>
      </x:c>
      <x:c r="Y39" s="48" t="n">
        <x:f>O39*IFERROR(VLOOKUP("Potongan Alpha",Komponen!$A:$E,5,FALSE),0)</x:f>
        <x:v>0</x:v>
      </x:c>
      <x:c r="Z39" s="48" t="n">
        <x:f>L39*IFERROR(VLOOKUP("Potongan Telat",Komponen!$A:$E,5,FALSE),0)</x:f>
        <x:v>0</x:v>
      </x:c>
      <x:c r="AA39" s="48" t="n">
        <x:f>0</x:f>
        <x:v>0</x:v>
      </x:c>
      <x:c r="AB39" s="48" t="n">
        <x:f>SUM(Y39:AA39)</x:f>
        <x:v>0</x:v>
      </x:c>
      <x:c r="AC39" s="48" t="n">
        <x:f>0</x:f>
        <x:v>0</x:v>
      </x:c>
      <x:c r="AD39" s="48" t="n">
        <x:f>X39-AB39+AC39</x:f>
        <x:v>0</x:v>
      </x:c>
      <x:c r="AE39" s="41" t="str">
        <x:f>IFERROR(VLOOKUP(B39,Karyawan!$A:$L,10,FALSE),"")</x:f>
      </x:c>
      <x:c r="AF39" s="41" t="str">
        <x:f>IF(AD39&lt;=0,"Cek gaji bersih",IF(P39&lt;=0,"Cek gaji pokok",IF(H39="","Cek jabatan",IF(G39="","Cek golongan","OK"))))</x:f>
        <x:v>Cek gaji bersih</x:v>
      </x:c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 t="n">
        <x:f>B40</x:f>
        <x:v>0</x:v>
      </x:c>
      <x:c r="D40" s="41" t="str">
        <x:f>IFERROR(VLOOKUP(B40,Karyawan!$A:$L,2,FALSE),"")</x:f>
      </x:c>
      <x:c r="E40" s="41" t="str">
        <x:f>IFERROR(VLOOKUP(B40,Karyawan!$A:$L,3,FALSE),"")</x:f>
      </x:c>
      <x:c r="F40" s="41" t="n">
        <x:f>IFERROR(VLOOKUP(B40,Karyawan!$A:$L,8,FALSE),0)</x:f>
        <x:v>0</x:v>
      </x:c>
      <x:c r="G40" s="41" t="str">
        <x:f>IFERROR(VLOOKUP(B40,Karyawan!$A:$L,6,FALSE),"")</x:f>
      </x:c>
      <x:c r="H40" s="41" t="str">
        <x:f>IFERROR(VLOOKUP(B40,Karyawan!$A:$L,4,FALSE),"")</x:f>
      </x:c>
      <x:c r="I40" s="41" t="str">
        <x:f>IFERROR(VLOOKUP(B40,Karyawan!$A:$L,5,FALSE),"")</x:f>
      </x:c>
      <x:c r="J40" s="41" t="n">
        <x:f>24</x:f>
        <x:v>24</x:v>
      </x:c>
      <x:c r="K40" s="41" t="n">
        <x:f>24</x:f>
        <x:v>24</x:v>
      </x:c>
      <x:c r="L40" s="41" t="n">
        <x:f>0</x:f>
        <x:v>0</x:v>
      </x:c>
      <x:c r="M40" s="41" t="n">
        <x:f>0</x:f>
        <x:v>0</x:v>
      </x:c>
      <x:c r="N40" s="41" t="n">
        <x:f>0</x:f>
        <x:v>0</x:v>
      </x:c>
      <x:c r="O40" s="41" t="n">
        <x:f>0</x:f>
        <x:v>0</x:v>
      </x:c>
      <x:c r="P40" s="48" t="n">
        <x:f>IFERROR(VLOOKUP(G40,Golongan!$B:$E,2,FALSE),0)</x:f>
        <x:v>0</x:v>
      </x:c>
      <x:c r="Q40" s="48" t="n">
        <x:f>IFERROR(VLOOKUP(I40,Jabatan!$B:$E,3,FALSE),0)</x:f>
        <x:v>0</x:v>
      </x:c>
      <x:c r="R40" s="48" t="n">
        <x:f>IF(J40&gt;0,IF(K40&gt;=J40,IFERROR(VLOOKUP(G40,Golongan!$B:$E,4,FALSE),0),K40*IFERROR(VLOOKUP(G40,Golongan!$B:$E,3,FALSE),0)),0)</x:f>
        <x:v>0</x:v>
      </x:c>
      <x:c r="S40" s="48" t="n">
        <x:f>IFERROR(VLOOKUP(I40,Jabatan!$B:$E,4,FALSE),0)</x:f>
        <x:v>0</x:v>
      </x:c>
      <x:c r="T40" s="48" t="n">
        <x:f>F40*IFERROR(VLOOKUP("Tunjangan Masa Kerja / Tahun",Komponen!$A:$E,5,FALSE),0)</x:f>
        <x:v>0</x:v>
      </x:c>
      <x:c r="U40" s="48" t="n">
        <x:f>SUMIF(Lembur!$L$2:$L$501,A40&amp;"|"&amp;B40,Lembur!$I$2:$I$501)</x:f>
        <x:v>0</x:v>
      </x:c>
      <x:c r="V40" s="48" t="n">
        <x:f>K40*IFERROR(VLOOKUP("Uang Makan / Hari",Komponen!$A:$E,5,FALSE),0)</x:f>
        <x:v>0</x:v>
      </x:c>
      <x:c r="W40" s="48" t="n">
        <x:f>0</x:f>
        <x:v>0</x:v>
      </x:c>
      <x:c r="X40" s="48" t="n">
        <x:f>SUM(P40:W40)</x:f>
        <x:v>0</x:v>
      </x:c>
      <x:c r="Y40" s="48" t="n">
        <x:f>O40*IFERROR(VLOOKUP("Potongan Alpha",Komponen!$A:$E,5,FALSE),0)</x:f>
        <x:v>0</x:v>
      </x:c>
      <x:c r="Z40" s="48" t="n">
        <x:f>L40*IFERROR(VLOOKUP("Potongan Telat",Komponen!$A:$E,5,FALSE),0)</x:f>
        <x:v>0</x:v>
      </x:c>
      <x:c r="AA40" s="48" t="n">
        <x:f>0</x:f>
        <x:v>0</x:v>
      </x:c>
      <x:c r="AB40" s="48" t="n">
        <x:f>SUM(Y40:AA40)</x:f>
        <x:v>0</x:v>
      </x:c>
      <x:c r="AC40" s="48" t="n">
        <x:f>0</x:f>
        <x:v>0</x:v>
      </x:c>
      <x:c r="AD40" s="48" t="n">
        <x:f>X40-AB40+AC40</x:f>
        <x:v>0</x:v>
      </x:c>
      <x:c r="AE40" s="41" t="str">
        <x:f>IFERROR(VLOOKUP(B40,Karyawan!$A:$L,10,FALSE),"")</x:f>
      </x:c>
      <x:c r="AF40" s="41" t="str">
        <x:f>IF(AD40&lt;=0,"Cek gaji bersih",IF(P40&lt;=0,"Cek gaji pokok",IF(H40="","Cek jabatan",IF(G40="","Cek golongan","OK"))))</x:f>
        <x:v>Cek gaji bersih</x:v>
      </x:c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 t="n">
        <x:f>B41</x:f>
        <x:v>0</x:v>
      </x:c>
      <x:c r="D41" s="41" t="str">
        <x:f>IFERROR(VLOOKUP(B41,Karyawan!$A:$L,2,FALSE),"")</x:f>
      </x:c>
      <x:c r="E41" s="41" t="str">
        <x:f>IFERROR(VLOOKUP(B41,Karyawan!$A:$L,3,FALSE),"")</x:f>
      </x:c>
      <x:c r="F41" s="41" t="n">
        <x:f>IFERROR(VLOOKUP(B41,Karyawan!$A:$L,8,FALSE),0)</x:f>
        <x:v>0</x:v>
      </x:c>
      <x:c r="G41" s="41" t="str">
        <x:f>IFERROR(VLOOKUP(B41,Karyawan!$A:$L,6,FALSE),"")</x:f>
      </x:c>
      <x:c r="H41" s="41" t="str">
        <x:f>IFERROR(VLOOKUP(B41,Karyawan!$A:$L,4,FALSE),"")</x:f>
      </x:c>
      <x:c r="I41" s="41" t="str">
        <x:f>IFERROR(VLOOKUP(B41,Karyawan!$A:$L,5,FALSE),"")</x:f>
      </x:c>
      <x:c r="J41" s="41" t="n">
        <x:f>24</x:f>
        <x:v>24</x:v>
      </x:c>
      <x:c r="K41" s="41" t="n">
        <x:f>24</x:f>
        <x:v>24</x:v>
      </x:c>
      <x:c r="L41" s="41" t="n">
        <x:f>0</x:f>
        <x:v>0</x:v>
      </x:c>
      <x:c r="M41" s="41" t="n">
        <x:f>0</x:f>
        <x:v>0</x:v>
      </x:c>
      <x:c r="N41" s="41" t="n">
        <x:f>0</x:f>
        <x:v>0</x:v>
      </x:c>
      <x:c r="O41" s="41" t="n">
        <x:f>0</x:f>
        <x:v>0</x:v>
      </x:c>
      <x:c r="P41" s="48" t="n">
        <x:f>IFERROR(VLOOKUP(G41,Golongan!$B:$E,2,FALSE),0)</x:f>
        <x:v>0</x:v>
      </x:c>
      <x:c r="Q41" s="48" t="n">
        <x:f>IFERROR(VLOOKUP(I41,Jabatan!$B:$E,3,FALSE),0)</x:f>
        <x:v>0</x:v>
      </x:c>
      <x:c r="R41" s="48" t="n">
        <x:f>IF(J41&gt;0,IF(K41&gt;=J41,IFERROR(VLOOKUP(G41,Golongan!$B:$E,4,FALSE),0),K41*IFERROR(VLOOKUP(G41,Golongan!$B:$E,3,FALSE),0)),0)</x:f>
        <x:v>0</x:v>
      </x:c>
      <x:c r="S41" s="48" t="n">
        <x:f>IFERROR(VLOOKUP(I41,Jabatan!$B:$E,4,FALSE),0)</x:f>
        <x:v>0</x:v>
      </x:c>
      <x:c r="T41" s="48" t="n">
        <x:f>F41*IFERROR(VLOOKUP("Tunjangan Masa Kerja / Tahun",Komponen!$A:$E,5,FALSE),0)</x:f>
        <x:v>0</x:v>
      </x:c>
      <x:c r="U41" s="48" t="n">
        <x:f>SUMIF(Lembur!$L$2:$L$501,A41&amp;"|"&amp;B41,Lembur!$I$2:$I$501)</x:f>
        <x:v>0</x:v>
      </x:c>
      <x:c r="V41" s="48" t="n">
        <x:f>K41*IFERROR(VLOOKUP("Uang Makan / Hari",Komponen!$A:$E,5,FALSE),0)</x:f>
        <x:v>0</x:v>
      </x:c>
      <x:c r="W41" s="48" t="n">
        <x:f>0</x:f>
        <x:v>0</x:v>
      </x:c>
      <x:c r="X41" s="48" t="n">
        <x:f>SUM(P41:W41)</x:f>
        <x:v>0</x:v>
      </x:c>
      <x:c r="Y41" s="48" t="n">
        <x:f>O41*IFERROR(VLOOKUP("Potongan Alpha",Komponen!$A:$E,5,FALSE),0)</x:f>
        <x:v>0</x:v>
      </x:c>
      <x:c r="Z41" s="48" t="n">
        <x:f>L41*IFERROR(VLOOKUP("Potongan Telat",Komponen!$A:$E,5,FALSE),0)</x:f>
        <x:v>0</x:v>
      </x:c>
      <x:c r="AA41" s="48" t="n">
        <x:f>0</x:f>
        <x:v>0</x:v>
      </x:c>
      <x:c r="AB41" s="48" t="n">
        <x:f>SUM(Y41:AA41)</x:f>
        <x:v>0</x:v>
      </x:c>
      <x:c r="AC41" s="48" t="n">
        <x:f>0</x:f>
        <x:v>0</x:v>
      </x:c>
      <x:c r="AD41" s="48" t="n">
        <x:f>X41-AB41+AC41</x:f>
        <x:v>0</x:v>
      </x:c>
      <x:c r="AE41" s="41" t="str">
        <x:f>IFERROR(VLOOKUP(B41,Karyawan!$A:$L,10,FALSE),"")</x:f>
      </x:c>
      <x:c r="AF41" s="41" t="str">
        <x:f>IF(AD41&lt;=0,"Cek gaji bersih",IF(P41&lt;=0,"Cek gaji pokok",IF(H41="","Cek jabatan",IF(G41="","Cek golongan","OK"))))</x:f>
        <x:v>Cek gaji bersih</x:v>
      </x:c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 t="n">
        <x:f>B42</x:f>
        <x:v>0</x:v>
      </x:c>
      <x:c r="D42" s="41" t="str">
        <x:f>IFERROR(VLOOKUP(B42,Karyawan!$A:$L,2,FALSE),"")</x:f>
      </x:c>
      <x:c r="E42" s="41" t="str">
        <x:f>IFERROR(VLOOKUP(B42,Karyawan!$A:$L,3,FALSE),"")</x:f>
      </x:c>
      <x:c r="F42" s="41" t="n">
        <x:f>IFERROR(VLOOKUP(B42,Karyawan!$A:$L,8,FALSE),0)</x:f>
        <x:v>0</x:v>
      </x:c>
      <x:c r="G42" s="41" t="str">
        <x:f>IFERROR(VLOOKUP(B42,Karyawan!$A:$L,6,FALSE),"")</x:f>
      </x:c>
      <x:c r="H42" s="41" t="str">
        <x:f>IFERROR(VLOOKUP(B42,Karyawan!$A:$L,4,FALSE),"")</x:f>
      </x:c>
      <x:c r="I42" s="41" t="str">
        <x:f>IFERROR(VLOOKUP(B42,Karyawan!$A:$L,5,FALSE),"")</x:f>
      </x:c>
      <x:c r="J42" s="41" t="n">
        <x:f>24</x:f>
        <x:v>24</x:v>
      </x:c>
      <x:c r="K42" s="41" t="n">
        <x:f>24</x:f>
        <x:v>24</x:v>
      </x:c>
      <x:c r="L42" s="41" t="n">
        <x:f>0</x:f>
        <x:v>0</x:v>
      </x:c>
      <x:c r="M42" s="41" t="n">
        <x:f>0</x:f>
        <x:v>0</x:v>
      </x:c>
      <x:c r="N42" s="41" t="n">
        <x:f>0</x:f>
        <x:v>0</x:v>
      </x:c>
      <x:c r="O42" s="41" t="n">
        <x:f>0</x:f>
        <x:v>0</x:v>
      </x:c>
      <x:c r="P42" s="48" t="n">
        <x:f>IFERROR(VLOOKUP(G42,Golongan!$B:$E,2,FALSE),0)</x:f>
        <x:v>0</x:v>
      </x:c>
      <x:c r="Q42" s="48" t="n">
        <x:f>IFERROR(VLOOKUP(I42,Jabatan!$B:$E,3,FALSE),0)</x:f>
        <x:v>0</x:v>
      </x:c>
      <x:c r="R42" s="48" t="n">
        <x:f>IF(J42&gt;0,IF(K42&gt;=J42,IFERROR(VLOOKUP(G42,Golongan!$B:$E,4,FALSE),0),K42*IFERROR(VLOOKUP(G42,Golongan!$B:$E,3,FALSE),0)),0)</x:f>
        <x:v>0</x:v>
      </x:c>
      <x:c r="S42" s="48" t="n">
        <x:f>IFERROR(VLOOKUP(I42,Jabatan!$B:$E,4,FALSE),0)</x:f>
        <x:v>0</x:v>
      </x:c>
      <x:c r="T42" s="48" t="n">
        <x:f>F42*IFERROR(VLOOKUP("Tunjangan Masa Kerja / Tahun",Komponen!$A:$E,5,FALSE),0)</x:f>
        <x:v>0</x:v>
      </x:c>
      <x:c r="U42" s="48" t="n">
        <x:f>SUMIF(Lembur!$L$2:$L$501,A42&amp;"|"&amp;B42,Lembur!$I$2:$I$501)</x:f>
        <x:v>0</x:v>
      </x:c>
      <x:c r="V42" s="48" t="n">
        <x:f>K42*IFERROR(VLOOKUP("Uang Makan / Hari",Komponen!$A:$E,5,FALSE),0)</x:f>
        <x:v>0</x:v>
      </x:c>
      <x:c r="W42" s="48" t="n">
        <x:f>0</x:f>
        <x:v>0</x:v>
      </x:c>
      <x:c r="X42" s="48" t="n">
        <x:f>SUM(P42:W42)</x:f>
        <x:v>0</x:v>
      </x:c>
      <x:c r="Y42" s="48" t="n">
        <x:f>O42*IFERROR(VLOOKUP("Potongan Alpha",Komponen!$A:$E,5,FALSE),0)</x:f>
        <x:v>0</x:v>
      </x:c>
      <x:c r="Z42" s="48" t="n">
        <x:f>L42*IFERROR(VLOOKUP("Potongan Telat",Komponen!$A:$E,5,FALSE),0)</x:f>
        <x:v>0</x:v>
      </x:c>
      <x:c r="AA42" s="48" t="n">
        <x:f>0</x:f>
        <x:v>0</x:v>
      </x:c>
      <x:c r="AB42" s="48" t="n">
        <x:f>SUM(Y42:AA42)</x:f>
        <x:v>0</x:v>
      </x:c>
      <x:c r="AC42" s="48" t="n">
        <x:f>0</x:f>
        <x:v>0</x:v>
      </x:c>
      <x:c r="AD42" s="48" t="n">
        <x:f>X42-AB42+AC42</x:f>
        <x:v>0</x:v>
      </x:c>
      <x:c r="AE42" s="41" t="str">
        <x:f>IFERROR(VLOOKUP(B42,Karyawan!$A:$L,10,FALSE),"")</x:f>
      </x:c>
      <x:c r="AF42" s="41" t="str">
        <x:f>IF(AD42&lt;=0,"Cek gaji bersih",IF(P42&lt;=0,"Cek gaji pokok",IF(H42="","Cek jabatan",IF(G42="","Cek golongan","OK"))))</x:f>
        <x:v>Cek gaji bersih</x:v>
      </x:c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 t="n">
        <x:f>B43</x:f>
        <x:v>0</x:v>
      </x:c>
      <x:c r="D43" s="41" t="str">
        <x:f>IFERROR(VLOOKUP(B43,Karyawan!$A:$L,2,FALSE),"")</x:f>
      </x:c>
      <x:c r="E43" s="41" t="str">
        <x:f>IFERROR(VLOOKUP(B43,Karyawan!$A:$L,3,FALSE),"")</x:f>
      </x:c>
      <x:c r="F43" s="41" t="n">
        <x:f>IFERROR(VLOOKUP(B43,Karyawan!$A:$L,8,FALSE),0)</x:f>
        <x:v>0</x:v>
      </x:c>
      <x:c r="G43" s="41" t="str">
        <x:f>IFERROR(VLOOKUP(B43,Karyawan!$A:$L,6,FALSE),"")</x:f>
      </x:c>
      <x:c r="H43" s="41" t="str">
        <x:f>IFERROR(VLOOKUP(B43,Karyawan!$A:$L,4,FALSE),"")</x:f>
      </x:c>
      <x:c r="I43" s="41" t="str">
        <x:f>IFERROR(VLOOKUP(B43,Karyawan!$A:$L,5,FALSE),"")</x:f>
      </x:c>
      <x:c r="J43" s="41" t="n">
        <x:f>24</x:f>
        <x:v>24</x:v>
      </x:c>
      <x:c r="K43" s="41" t="n">
        <x:f>24</x:f>
        <x:v>24</x:v>
      </x:c>
      <x:c r="L43" s="41" t="n">
        <x:f>0</x:f>
        <x:v>0</x:v>
      </x:c>
      <x:c r="M43" s="41" t="n">
        <x:f>0</x:f>
        <x:v>0</x:v>
      </x:c>
      <x:c r="N43" s="41" t="n">
        <x:f>0</x:f>
        <x:v>0</x:v>
      </x:c>
      <x:c r="O43" s="41" t="n">
        <x:f>0</x:f>
        <x:v>0</x:v>
      </x:c>
      <x:c r="P43" s="48" t="n">
        <x:f>IFERROR(VLOOKUP(G43,Golongan!$B:$E,2,FALSE),0)</x:f>
        <x:v>0</x:v>
      </x:c>
      <x:c r="Q43" s="48" t="n">
        <x:f>IFERROR(VLOOKUP(I43,Jabatan!$B:$E,3,FALSE),0)</x:f>
        <x:v>0</x:v>
      </x:c>
      <x:c r="R43" s="48" t="n">
        <x:f>IF(J43&gt;0,IF(K43&gt;=J43,IFERROR(VLOOKUP(G43,Golongan!$B:$E,4,FALSE),0),K43*IFERROR(VLOOKUP(G43,Golongan!$B:$E,3,FALSE),0)),0)</x:f>
        <x:v>0</x:v>
      </x:c>
      <x:c r="S43" s="48" t="n">
        <x:f>IFERROR(VLOOKUP(I43,Jabatan!$B:$E,4,FALSE),0)</x:f>
        <x:v>0</x:v>
      </x:c>
      <x:c r="T43" s="48" t="n">
        <x:f>F43*IFERROR(VLOOKUP("Tunjangan Masa Kerja / Tahun",Komponen!$A:$E,5,FALSE),0)</x:f>
        <x:v>0</x:v>
      </x:c>
      <x:c r="U43" s="48" t="n">
        <x:f>SUMIF(Lembur!$L$2:$L$501,A43&amp;"|"&amp;B43,Lembur!$I$2:$I$501)</x:f>
        <x:v>0</x:v>
      </x:c>
      <x:c r="V43" s="48" t="n">
        <x:f>K43*IFERROR(VLOOKUP("Uang Makan / Hari",Komponen!$A:$E,5,FALSE),0)</x:f>
        <x:v>0</x:v>
      </x:c>
      <x:c r="W43" s="48" t="n">
        <x:f>0</x:f>
        <x:v>0</x:v>
      </x:c>
      <x:c r="X43" s="48" t="n">
        <x:f>SUM(P43:W43)</x:f>
        <x:v>0</x:v>
      </x:c>
      <x:c r="Y43" s="48" t="n">
        <x:f>O43*IFERROR(VLOOKUP("Potongan Alpha",Komponen!$A:$E,5,FALSE),0)</x:f>
        <x:v>0</x:v>
      </x:c>
      <x:c r="Z43" s="48" t="n">
        <x:f>L43*IFERROR(VLOOKUP("Potongan Telat",Komponen!$A:$E,5,FALSE),0)</x:f>
        <x:v>0</x:v>
      </x:c>
      <x:c r="AA43" s="48" t="n">
        <x:f>0</x:f>
        <x:v>0</x:v>
      </x:c>
      <x:c r="AB43" s="48" t="n">
        <x:f>SUM(Y43:AA43)</x:f>
        <x:v>0</x:v>
      </x:c>
      <x:c r="AC43" s="48" t="n">
        <x:f>0</x:f>
        <x:v>0</x:v>
      </x:c>
      <x:c r="AD43" s="48" t="n">
        <x:f>X43-AB43+AC43</x:f>
        <x:v>0</x:v>
      </x:c>
      <x:c r="AE43" s="41" t="str">
        <x:f>IFERROR(VLOOKUP(B43,Karyawan!$A:$L,10,FALSE),"")</x:f>
      </x:c>
      <x:c r="AF43" s="41" t="str">
        <x:f>IF(AD43&lt;=0,"Cek gaji bersih",IF(P43&lt;=0,"Cek gaji pokok",IF(H43="","Cek jabatan",IF(G43="","Cek golongan","OK"))))</x:f>
        <x:v>Cek gaji bersih</x:v>
      </x:c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 t="n">
        <x:f>B44</x:f>
        <x:v>0</x:v>
      </x:c>
      <x:c r="D44" s="41" t="str">
        <x:f>IFERROR(VLOOKUP(B44,Karyawan!$A:$L,2,FALSE),"")</x:f>
      </x:c>
      <x:c r="E44" s="41" t="str">
        <x:f>IFERROR(VLOOKUP(B44,Karyawan!$A:$L,3,FALSE),"")</x:f>
      </x:c>
      <x:c r="F44" s="41" t="n">
        <x:f>IFERROR(VLOOKUP(B44,Karyawan!$A:$L,8,FALSE),0)</x:f>
        <x:v>0</x:v>
      </x:c>
      <x:c r="G44" s="41" t="str">
        <x:f>IFERROR(VLOOKUP(B44,Karyawan!$A:$L,6,FALSE),"")</x:f>
      </x:c>
      <x:c r="H44" s="41" t="str">
        <x:f>IFERROR(VLOOKUP(B44,Karyawan!$A:$L,4,FALSE),"")</x:f>
      </x:c>
      <x:c r="I44" s="41" t="str">
        <x:f>IFERROR(VLOOKUP(B44,Karyawan!$A:$L,5,FALSE),"")</x:f>
      </x:c>
      <x:c r="J44" s="41" t="n">
        <x:f>24</x:f>
        <x:v>24</x:v>
      </x:c>
      <x:c r="K44" s="41" t="n">
        <x:f>24</x:f>
        <x:v>24</x:v>
      </x:c>
      <x:c r="L44" s="41" t="n">
        <x:f>0</x:f>
        <x:v>0</x:v>
      </x:c>
      <x:c r="M44" s="41" t="n">
        <x:f>0</x:f>
        <x:v>0</x:v>
      </x:c>
      <x:c r="N44" s="41" t="n">
        <x:f>0</x:f>
        <x:v>0</x:v>
      </x:c>
      <x:c r="O44" s="41" t="n">
        <x:f>0</x:f>
        <x:v>0</x:v>
      </x:c>
      <x:c r="P44" s="48" t="n">
        <x:f>IFERROR(VLOOKUP(G44,Golongan!$B:$E,2,FALSE),0)</x:f>
        <x:v>0</x:v>
      </x:c>
      <x:c r="Q44" s="48" t="n">
        <x:f>IFERROR(VLOOKUP(I44,Jabatan!$B:$E,3,FALSE),0)</x:f>
        <x:v>0</x:v>
      </x:c>
      <x:c r="R44" s="48" t="n">
        <x:f>IF(J44&gt;0,IF(K44&gt;=J44,IFERROR(VLOOKUP(G44,Golongan!$B:$E,4,FALSE),0),K44*IFERROR(VLOOKUP(G44,Golongan!$B:$E,3,FALSE),0)),0)</x:f>
        <x:v>0</x:v>
      </x:c>
      <x:c r="S44" s="48" t="n">
        <x:f>IFERROR(VLOOKUP(I44,Jabatan!$B:$E,4,FALSE),0)</x:f>
        <x:v>0</x:v>
      </x:c>
      <x:c r="T44" s="48" t="n">
        <x:f>F44*IFERROR(VLOOKUP("Tunjangan Masa Kerja / Tahun",Komponen!$A:$E,5,FALSE),0)</x:f>
        <x:v>0</x:v>
      </x:c>
      <x:c r="U44" s="48" t="n">
        <x:f>SUMIF(Lembur!$L$2:$L$501,A44&amp;"|"&amp;B44,Lembur!$I$2:$I$501)</x:f>
        <x:v>0</x:v>
      </x:c>
      <x:c r="V44" s="48" t="n">
        <x:f>K44*IFERROR(VLOOKUP("Uang Makan / Hari",Komponen!$A:$E,5,FALSE),0)</x:f>
        <x:v>0</x:v>
      </x:c>
      <x:c r="W44" s="48" t="n">
        <x:f>0</x:f>
        <x:v>0</x:v>
      </x:c>
      <x:c r="X44" s="48" t="n">
        <x:f>SUM(P44:W44)</x:f>
        <x:v>0</x:v>
      </x:c>
      <x:c r="Y44" s="48" t="n">
        <x:f>O44*IFERROR(VLOOKUP("Potongan Alpha",Komponen!$A:$E,5,FALSE),0)</x:f>
        <x:v>0</x:v>
      </x:c>
      <x:c r="Z44" s="48" t="n">
        <x:f>L44*IFERROR(VLOOKUP("Potongan Telat",Komponen!$A:$E,5,FALSE),0)</x:f>
        <x:v>0</x:v>
      </x:c>
      <x:c r="AA44" s="48" t="n">
        <x:f>0</x:f>
        <x:v>0</x:v>
      </x:c>
      <x:c r="AB44" s="48" t="n">
        <x:f>SUM(Y44:AA44)</x:f>
        <x:v>0</x:v>
      </x:c>
      <x:c r="AC44" s="48" t="n">
        <x:f>0</x:f>
        <x:v>0</x:v>
      </x:c>
      <x:c r="AD44" s="48" t="n">
        <x:f>X44-AB44+AC44</x:f>
        <x:v>0</x:v>
      </x:c>
      <x:c r="AE44" s="41" t="str">
        <x:f>IFERROR(VLOOKUP(B44,Karyawan!$A:$L,10,FALSE),"")</x:f>
      </x:c>
      <x:c r="AF44" s="41" t="str">
        <x:f>IF(AD44&lt;=0,"Cek gaji bersih",IF(P44&lt;=0,"Cek gaji pokok",IF(H44="","Cek jabatan",IF(G44="","Cek golongan","OK"))))</x:f>
        <x:v>Cek gaji bersih</x:v>
      </x:c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 t="n">
        <x:f>B45</x:f>
        <x:v>0</x:v>
      </x:c>
      <x:c r="D45" s="41" t="str">
        <x:f>IFERROR(VLOOKUP(B45,Karyawan!$A:$L,2,FALSE),"")</x:f>
      </x:c>
      <x:c r="E45" s="41" t="str">
        <x:f>IFERROR(VLOOKUP(B45,Karyawan!$A:$L,3,FALSE),"")</x:f>
      </x:c>
      <x:c r="F45" s="41" t="n">
        <x:f>IFERROR(VLOOKUP(B45,Karyawan!$A:$L,8,FALSE),0)</x:f>
        <x:v>0</x:v>
      </x:c>
      <x:c r="G45" s="41" t="str">
        <x:f>IFERROR(VLOOKUP(B45,Karyawan!$A:$L,6,FALSE),"")</x:f>
      </x:c>
      <x:c r="H45" s="41" t="str">
        <x:f>IFERROR(VLOOKUP(B45,Karyawan!$A:$L,4,FALSE),"")</x:f>
      </x:c>
      <x:c r="I45" s="41" t="str">
        <x:f>IFERROR(VLOOKUP(B45,Karyawan!$A:$L,5,FALSE),"")</x:f>
      </x:c>
      <x:c r="J45" s="41" t="n">
        <x:f>24</x:f>
        <x:v>24</x:v>
      </x:c>
      <x:c r="K45" s="41" t="n">
        <x:f>24</x:f>
        <x:v>24</x:v>
      </x:c>
      <x:c r="L45" s="41" t="n">
        <x:f>0</x:f>
        <x:v>0</x:v>
      </x:c>
      <x:c r="M45" s="41" t="n">
        <x:f>0</x:f>
        <x:v>0</x:v>
      </x:c>
      <x:c r="N45" s="41" t="n">
        <x:f>0</x:f>
        <x:v>0</x:v>
      </x:c>
      <x:c r="O45" s="41" t="n">
        <x:f>0</x:f>
        <x:v>0</x:v>
      </x:c>
      <x:c r="P45" s="48" t="n">
        <x:f>IFERROR(VLOOKUP(G45,Golongan!$B:$E,2,FALSE),0)</x:f>
        <x:v>0</x:v>
      </x:c>
      <x:c r="Q45" s="48" t="n">
        <x:f>IFERROR(VLOOKUP(I45,Jabatan!$B:$E,3,FALSE),0)</x:f>
        <x:v>0</x:v>
      </x:c>
      <x:c r="R45" s="48" t="n">
        <x:f>IF(J45&gt;0,IF(K45&gt;=J45,IFERROR(VLOOKUP(G45,Golongan!$B:$E,4,FALSE),0),K45*IFERROR(VLOOKUP(G45,Golongan!$B:$E,3,FALSE),0)),0)</x:f>
        <x:v>0</x:v>
      </x:c>
      <x:c r="S45" s="48" t="n">
        <x:f>IFERROR(VLOOKUP(I45,Jabatan!$B:$E,4,FALSE),0)</x:f>
        <x:v>0</x:v>
      </x:c>
      <x:c r="T45" s="48" t="n">
        <x:f>F45*IFERROR(VLOOKUP("Tunjangan Masa Kerja / Tahun",Komponen!$A:$E,5,FALSE),0)</x:f>
        <x:v>0</x:v>
      </x:c>
      <x:c r="U45" s="48" t="n">
        <x:f>SUMIF(Lembur!$L$2:$L$501,A45&amp;"|"&amp;B45,Lembur!$I$2:$I$501)</x:f>
        <x:v>0</x:v>
      </x:c>
      <x:c r="V45" s="48" t="n">
        <x:f>K45*IFERROR(VLOOKUP("Uang Makan / Hari",Komponen!$A:$E,5,FALSE),0)</x:f>
        <x:v>0</x:v>
      </x:c>
      <x:c r="W45" s="48" t="n">
        <x:f>0</x:f>
        <x:v>0</x:v>
      </x:c>
      <x:c r="X45" s="48" t="n">
        <x:f>SUM(P45:W45)</x:f>
        <x:v>0</x:v>
      </x:c>
      <x:c r="Y45" s="48" t="n">
        <x:f>O45*IFERROR(VLOOKUP("Potongan Alpha",Komponen!$A:$E,5,FALSE),0)</x:f>
        <x:v>0</x:v>
      </x:c>
      <x:c r="Z45" s="48" t="n">
        <x:f>L45*IFERROR(VLOOKUP("Potongan Telat",Komponen!$A:$E,5,FALSE),0)</x:f>
        <x:v>0</x:v>
      </x:c>
      <x:c r="AA45" s="48" t="n">
        <x:f>0</x:f>
        <x:v>0</x:v>
      </x:c>
      <x:c r="AB45" s="48" t="n">
        <x:f>SUM(Y45:AA45)</x:f>
        <x:v>0</x:v>
      </x:c>
      <x:c r="AC45" s="48" t="n">
        <x:f>0</x:f>
        <x:v>0</x:v>
      </x:c>
      <x:c r="AD45" s="48" t="n">
        <x:f>X45-AB45+AC45</x:f>
        <x:v>0</x:v>
      </x:c>
      <x:c r="AE45" s="41" t="str">
        <x:f>IFERROR(VLOOKUP(B45,Karyawan!$A:$L,10,FALSE),"")</x:f>
      </x:c>
      <x:c r="AF45" s="41" t="str">
        <x:f>IF(AD45&lt;=0,"Cek gaji bersih",IF(P45&lt;=0,"Cek gaji pokok",IF(H45="","Cek jabatan",IF(G45="","Cek golongan","OK"))))</x:f>
        <x:v>Cek gaji bersih</x:v>
      </x:c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 t="n">
        <x:f>B46</x:f>
        <x:v>0</x:v>
      </x:c>
      <x:c r="D46" s="41" t="str">
        <x:f>IFERROR(VLOOKUP(B46,Karyawan!$A:$L,2,FALSE),"")</x:f>
      </x:c>
      <x:c r="E46" s="41" t="str">
        <x:f>IFERROR(VLOOKUP(B46,Karyawan!$A:$L,3,FALSE),"")</x:f>
      </x:c>
      <x:c r="F46" s="41" t="n">
        <x:f>IFERROR(VLOOKUP(B46,Karyawan!$A:$L,8,FALSE),0)</x:f>
        <x:v>0</x:v>
      </x:c>
      <x:c r="G46" s="41" t="str">
        <x:f>IFERROR(VLOOKUP(B46,Karyawan!$A:$L,6,FALSE),"")</x:f>
      </x:c>
      <x:c r="H46" s="41" t="str">
        <x:f>IFERROR(VLOOKUP(B46,Karyawan!$A:$L,4,FALSE),"")</x:f>
      </x:c>
      <x:c r="I46" s="41" t="str">
        <x:f>IFERROR(VLOOKUP(B46,Karyawan!$A:$L,5,FALSE),"")</x:f>
      </x:c>
      <x:c r="J46" s="41" t="n">
        <x:f>24</x:f>
        <x:v>24</x:v>
      </x:c>
      <x:c r="K46" s="41" t="n">
        <x:f>24</x:f>
        <x:v>24</x:v>
      </x:c>
      <x:c r="L46" s="41" t="n">
        <x:f>0</x:f>
        <x:v>0</x:v>
      </x:c>
      <x:c r="M46" s="41" t="n">
        <x:f>0</x:f>
        <x:v>0</x:v>
      </x:c>
      <x:c r="N46" s="41" t="n">
        <x:f>0</x:f>
        <x:v>0</x:v>
      </x:c>
      <x:c r="O46" s="41" t="n">
        <x:f>0</x:f>
        <x:v>0</x:v>
      </x:c>
      <x:c r="P46" s="48" t="n">
        <x:f>IFERROR(VLOOKUP(G46,Golongan!$B:$E,2,FALSE),0)</x:f>
        <x:v>0</x:v>
      </x:c>
      <x:c r="Q46" s="48" t="n">
        <x:f>IFERROR(VLOOKUP(I46,Jabatan!$B:$E,3,FALSE),0)</x:f>
        <x:v>0</x:v>
      </x:c>
      <x:c r="R46" s="48" t="n">
        <x:f>IF(J46&gt;0,IF(K46&gt;=J46,IFERROR(VLOOKUP(G46,Golongan!$B:$E,4,FALSE),0),K46*IFERROR(VLOOKUP(G46,Golongan!$B:$E,3,FALSE),0)),0)</x:f>
        <x:v>0</x:v>
      </x:c>
      <x:c r="S46" s="48" t="n">
        <x:f>IFERROR(VLOOKUP(I46,Jabatan!$B:$E,4,FALSE),0)</x:f>
        <x:v>0</x:v>
      </x:c>
      <x:c r="T46" s="48" t="n">
        <x:f>F46*IFERROR(VLOOKUP("Tunjangan Masa Kerja / Tahun",Komponen!$A:$E,5,FALSE),0)</x:f>
        <x:v>0</x:v>
      </x:c>
      <x:c r="U46" s="48" t="n">
        <x:f>SUMIF(Lembur!$L$2:$L$501,A46&amp;"|"&amp;B46,Lembur!$I$2:$I$501)</x:f>
        <x:v>0</x:v>
      </x:c>
      <x:c r="V46" s="48" t="n">
        <x:f>K46*IFERROR(VLOOKUP("Uang Makan / Hari",Komponen!$A:$E,5,FALSE),0)</x:f>
        <x:v>0</x:v>
      </x:c>
      <x:c r="W46" s="48" t="n">
        <x:f>0</x:f>
        <x:v>0</x:v>
      </x:c>
      <x:c r="X46" s="48" t="n">
        <x:f>SUM(P46:W46)</x:f>
        <x:v>0</x:v>
      </x:c>
      <x:c r="Y46" s="48" t="n">
        <x:f>O46*IFERROR(VLOOKUP("Potongan Alpha",Komponen!$A:$E,5,FALSE),0)</x:f>
        <x:v>0</x:v>
      </x:c>
      <x:c r="Z46" s="48" t="n">
        <x:f>L46*IFERROR(VLOOKUP("Potongan Telat",Komponen!$A:$E,5,FALSE),0)</x:f>
        <x:v>0</x:v>
      </x:c>
      <x:c r="AA46" s="48" t="n">
        <x:f>0</x:f>
        <x:v>0</x:v>
      </x:c>
      <x:c r="AB46" s="48" t="n">
        <x:f>SUM(Y46:AA46)</x:f>
        <x:v>0</x:v>
      </x:c>
      <x:c r="AC46" s="48" t="n">
        <x:f>0</x:f>
        <x:v>0</x:v>
      </x:c>
      <x:c r="AD46" s="48" t="n">
        <x:f>X46-AB46+AC46</x:f>
        <x:v>0</x:v>
      </x:c>
      <x:c r="AE46" s="41" t="str">
        <x:f>IFERROR(VLOOKUP(B46,Karyawan!$A:$L,10,FALSE),"")</x:f>
      </x:c>
      <x:c r="AF46" s="41" t="str">
        <x:f>IF(AD46&lt;=0,"Cek gaji bersih",IF(P46&lt;=0,"Cek gaji pokok",IF(H46="","Cek jabatan",IF(G46="","Cek golongan","OK"))))</x:f>
        <x:v>Cek gaji bersih</x:v>
      </x:c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 t="n">
        <x:f>B47</x:f>
        <x:v>0</x:v>
      </x:c>
      <x:c r="D47" s="41" t="str">
        <x:f>IFERROR(VLOOKUP(B47,Karyawan!$A:$L,2,FALSE),"")</x:f>
      </x:c>
      <x:c r="E47" s="41" t="str">
        <x:f>IFERROR(VLOOKUP(B47,Karyawan!$A:$L,3,FALSE),"")</x:f>
      </x:c>
      <x:c r="F47" s="41" t="n">
        <x:f>IFERROR(VLOOKUP(B47,Karyawan!$A:$L,8,FALSE),0)</x:f>
        <x:v>0</x:v>
      </x:c>
      <x:c r="G47" s="41" t="str">
        <x:f>IFERROR(VLOOKUP(B47,Karyawan!$A:$L,6,FALSE),"")</x:f>
      </x:c>
      <x:c r="H47" s="41" t="str">
        <x:f>IFERROR(VLOOKUP(B47,Karyawan!$A:$L,4,FALSE),"")</x:f>
      </x:c>
      <x:c r="I47" s="41" t="str">
        <x:f>IFERROR(VLOOKUP(B47,Karyawan!$A:$L,5,FALSE),"")</x:f>
      </x:c>
      <x:c r="J47" s="41" t="n">
        <x:f>24</x:f>
        <x:v>24</x:v>
      </x:c>
      <x:c r="K47" s="41" t="n">
        <x:f>24</x:f>
        <x:v>24</x:v>
      </x:c>
      <x:c r="L47" s="41" t="n">
        <x:f>0</x:f>
        <x:v>0</x:v>
      </x:c>
      <x:c r="M47" s="41" t="n">
        <x:f>0</x:f>
        <x:v>0</x:v>
      </x:c>
      <x:c r="N47" s="41" t="n">
        <x:f>0</x:f>
        <x:v>0</x:v>
      </x:c>
      <x:c r="O47" s="41" t="n">
        <x:f>0</x:f>
        <x:v>0</x:v>
      </x:c>
      <x:c r="P47" s="48" t="n">
        <x:f>IFERROR(VLOOKUP(G47,Golongan!$B:$E,2,FALSE),0)</x:f>
        <x:v>0</x:v>
      </x:c>
      <x:c r="Q47" s="48" t="n">
        <x:f>IFERROR(VLOOKUP(I47,Jabatan!$B:$E,3,FALSE),0)</x:f>
        <x:v>0</x:v>
      </x:c>
      <x:c r="R47" s="48" t="n">
        <x:f>IF(J47&gt;0,IF(K47&gt;=J47,IFERROR(VLOOKUP(G47,Golongan!$B:$E,4,FALSE),0),K47*IFERROR(VLOOKUP(G47,Golongan!$B:$E,3,FALSE),0)),0)</x:f>
        <x:v>0</x:v>
      </x:c>
      <x:c r="S47" s="48" t="n">
        <x:f>IFERROR(VLOOKUP(I47,Jabatan!$B:$E,4,FALSE),0)</x:f>
        <x:v>0</x:v>
      </x:c>
      <x:c r="T47" s="48" t="n">
        <x:f>F47*IFERROR(VLOOKUP("Tunjangan Masa Kerja / Tahun",Komponen!$A:$E,5,FALSE),0)</x:f>
        <x:v>0</x:v>
      </x:c>
      <x:c r="U47" s="48" t="n">
        <x:f>SUMIF(Lembur!$L$2:$L$501,A47&amp;"|"&amp;B47,Lembur!$I$2:$I$501)</x:f>
        <x:v>0</x:v>
      </x:c>
      <x:c r="V47" s="48" t="n">
        <x:f>K47*IFERROR(VLOOKUP("Uang Makan / Hari",Komponen!$A:$E,5,FALSE),0)</x:f>
        <x:v>0</x:v>
      </x:c>
      <x:c r="W47" s="48" t="n">
        <x:f>0</x:f>
        <x:v>0</x:v>
      </x:c>
      <x:c r="X47" s="48" t="n">
        <x:f>SUM(P47:W47)</x:f>
        <x:v>0</x:v>
      </x:c>
      <x:c r="Y47" s="48" t="n">
        <x:f>O47*IFERROR(VLOOKUP("Potongan Alpha",Komponen!$A:$E,5,FALSE),0)</x:f>
        <x:v>0</x:v>
      </x:c>
      <x:c r="Z47" s="48" t="n">
        <x:f>L47*IFERROR(VLOOKUP("Potongan Telat",Komponen!$A:$E,5,FALSE),0)</x:f>
        <x:v>0</x:v>
      </x:c>
      <x:c r="AA47" s="48" t="n">
        <x:f>0</x:f>
        <x:v>0</x:v>
      </x:c>
      <x:c r="AB47" s="48" t="n">
        <x:f>SUM(Y47:AA47)</x:f>
        <x:v>0</x:v>
      </x:c>
      <x:c r="AC47" s="48" t="n">
        <x:f>0</x:f>
        <x:v>0</x:v>
      </x:c>
      <x:c r="AD47" s="48" t="n">
        <x:f>X47-AB47+AC47</x:f>
        <x:v>0</x:v>
      </x:c>
      <x:c r="AE47" s="41" t="str">
        <x:f>IFERROR(VLOOKUP(B47,Karyawan!$A:$L,10,FALSE),"")</x:f>
      </x:c>
      <x:c r="AF47" s="41" t="str">
        <x:f>IF(AD47&lt;=0,"Cek gaji bersih",IF(P47&lt;=0,"Cek gaji pokok",IF(H47="","Cek jabatan",IF(G47="","Cek golongan","OK"))))</x:f>
        <x:v>Cek gaji bersih</x:v>
      </x:c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 t="n">
        <x:f>B48</x:f>
        <x:v>0</x:v>
      </x:c>
      <x:c r="D48" s="41" t="str">
        <x:f>IFERROR(VLOOKUP(B48,Karyawan!$A:$L,2,FALSE),"")</x:f>
      </x:c>
      <x:c r="E48" s="41" t="str">
        <x:f>IFERROR(VLOOKUP(B48,Karyawan!$A:$L,3,FALSE),"")</x:f>
      </x:c>
      <x:c r="F48" s="41" t="n">
        <x:f>IFERROR(VLOOKUP(B48,Karyawan!$A:$L,8,FALSE),0)</x:f>
        <x:v>0</x:v>
      </x:c>
      <x:c r="G48" s="41" t="str">
        <x:f>IFERROR(VLOOKUP(B48,Karyawan!$A:$L,6,FALSE),"")</x:f>
      </x:c>
      <x:c r="H48" s="41" t="str">
        <x:f>IFERROR(VLOOKUP(B48,Karyawan!$A:$L,4,FALSE),"")</x:f>
      </x:c>
      <x:c r="I48" s="41" t="str">
        <x:f>IFERROR(VLOOKUP(B48,Karyawan!$A:$L,5,FALSE),"")</x:f>
      </x:c>
      <x:c r="J48" s="41" t="n">
        <x:f>24</x:f>
        <x:v>24</x:v>
      </x:c>
      <x:c r="K48" s="41" t="n">
        <x:f>24</x:f>
        <x:v>24</x:v>
      </x:c>
      <x:c r="L48" s="41" t="n">
        <x:f>0</x:f>
        <x:v>0</x:v>
      </x:c>
      <x:c r="M48" s="41" t="n">
        <x:f>0</x:f>
        <x:v>0</x:v>
      </x:c>
      <x:c r="N48" s="41" t="n">
        <x:f>0</x:f>
        <x:v>0</x:v>
      </x:c>
      <x:c r="O48" s="41" t="n">
        <x:f>0</x:f>
        <x:v>0</x:v>
      </x:c>
      <x:c r="P48" s="48" t="n">
        <x:f>IFERROR(VLOOKUP(G48,Golongan!$B:$E,2,FALSE),0)</x:f>
        <x:v>0</x:v>
      </x:c>
      <x:c r="Q48" s="48" t="n">
        <x:f>IFERROR(VLOOKUP(I48,Jabatan!$B:$E,3,FALSE),0)</x:f>
        <x:v>0</x:v>
      </x:c>
      <x:c r="R48" s="48" t="n">
        <x:f>IF(J48&gt;0,IF(K48&gt;=J48,IFERROR(VLOOKUP(G48,Golongan!$B:$E,4,FALSE),0),K48*IFERROR(VLOOKUP(G48,Golongan!$B:$E,3,FALSE),0)),0)</x:f>
        <x:v>0</x:v>
      </x:c>
      <x:c r="S48" s="48" t="n">
        <x:f>IFERROR(VLOOKUP(I48,Jabatan!$B:$E,4,FALSE),0)</x:f>
        <x:v>0</x:v>
      </x:c>
      <x:c r="T48" s="48" t="n">
        <x:f>F48*IFERROR(VLOOKUP("Tunjangan Masa Kerja / Tahun",Komponen!$A:$E,5,FALSE),0)</x:f>
        <x:v>0</x:v>
      </x:c>
      <x:c r="U48" s="48" t="n">
        <x:f>SUMIF(Lembur!$L$2:$L$501,A48&amp;"|"&amp;B48,Lembur!$I$2:$I$501)</x:f>
        <x:v>0</x:v>
      </x:c>
      <x:c r="V48" s="48" t="n">
        <x:f>K48*IFERROR(VLOOKUP("Uang Makan / Hari",Komponen!$A:$E,5,FALSE),0)</x:f>
        <x:v>0</x:v>
      </x:c>
      <x:c r="W48" s="48" t="n">
        <x:f>0</x:f>
        <x:v>0</x:v>
      </x:c>
      <x:c r="X48" s="48" t="n">
        <x:f>SUM(P48:W48)</x:f>
        <x:v>0</x:v>
      </x:c>
      <x:c r="Y48" s="48" t="n">
        <x:f>O48*IFERROR(VLOOKUP("Potongan Alpha",Komponen!$A:$E,5,FALSE),0)</x:f>
        <x:v>0</x:v>
      </x:c>
      <x:c r="Z48" s="48" t="n">
        <x:f>L48*IFERROR(VLOOKUP("Potongan Telat",Komponen!$A:$E,5,FALSE),0)</x:f>
        <x:v>0</x:v>
      </x:c>
      <x:c r="AA48" s="48" t="n">
        <x:f>0</x:f>
        <x:v>0</x:v>
      </x:c>
      <x:c r="AB48" s="48" t="n">
        <x:f>SUM(Y48:AA48)</x:f>
        <x:v>0</x:v>
      </x:c>
      <x:c r="AC48" s="48" t="n">
        <x:f>0</x:f>
        <x:v>0</x:v>
      </x:c>
      <x:c r="AD48" s="48" t="n">
        <x:f>X48-AB48+AC48</x:f>
        <x:v>0</x:v>
      </x:c>
      <x:c r="AE48" s="41" t="str">
        <x:f>IFERROR(VLOOKUP(B48,Karyawan!$A:$L,10,FALSE),"")</x:f>
      </x:c>
      <x:c r="AF48" s="41" t="str">
        <x:f>IF(AD48&lt;=0,"Cek gaji bersih",IF(P48&lt;=0,"Cek gaji pokok",IF(H48="","Cek jabatan",IF(G48="","Cek golongan","OK"))))</x:f>
        <x:v>Cek gaji bersih</x:v>
      </x:c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 t="n">
        <x:f>B49</x:f>
        <x:v>0</x:v>
      </x:c>
      <x:c r="D49" s="41" t="str">
        <x:f>IFERROR(VLOOKUP(B49,Karyawan!$A:$L,2,FALSE),"")</x:f>
      </x:c>
      <x:c r="E49" s="41" t="str">
        <x:f>IFERROR(VLOOKUP(B49,Karyawan!$A:$L,3,FALSE),"")</x:f>
      </x:c>
      <x:c r="F49" s="41" t="n">
        <x:f>IFERROR(VLOOKUP(B49,Karyawan!$A:$L,8,FALSE),0)</x:f>
        <x:v>0</x:v>
      </x:c>
      <x:c r="G49" s="41" t="str">
        <x:f>IFERROR(VLOOKUP(B49,Karyawan!$A:$L,6,FALSE),"")</x:f>
      </x:c>
      <x:c r="H49" s="41" t="str">
        <x:f>IFERROR(VLOOKUP(B49,Karyawan!$A:$L,4,FALSE),"")</x:f>
      </x:c>
      <x:c r="I49" s="41" t="str">
        <x:f>IFERROR(VLOOKUP(B49,Karyawan!$A:$L,5,FALSE),"")</x:f>
      </x:c>
      <x:c r="J49" s="41" t="n">
        <x:f>24</x:f>
        <x:v>24</x:v>
      </x:c>
      <x:c r="K49" s="41" t="n">
        <x:f>24</x:f>
        <x:v>24</x:v>
      </x:c>
      <x:c r="L49" s="41" t="n">
        <x:f>0</x:f>
        <x:v>0</x:v>
      </x:c>
      <x:c r="M49" s="41" t="n">
        <x:f>0</x:f>
        <x:v>0</x:v>
      </x:c>
      <x:c r="N49" s="41" t="n">
        <x:f>0</x:f>
        <x:v>0</x:v>
      </x:c>
      <x:c r="O49" s="41" t="n">
        <x:f>0</x:f>
        <x:v>0</x:v>
      </x:c>
      <x:c r="P49" s="48" t="n">
        <x:f>IFERROR(VLOOKUP(G49,Golongan!$B:$E,2,FALSE),0)</x:f>
        <x:v>0</x:v>
      </x:c>
      <x:c r="Q49" s="48" t="n">
        <x:f>IFERROR(VLOOKUP(I49,Jabatan!$B:$E,3,FALSE),0)</x:f>
        <x:v>0</x:v>
      </x:c>
      <x:c r="R49" s="48" t="n">
        <x:f>IF(J49&gt;0,IF(K49&gt;=J49,IFERROR(VLOOKUP(G49,Golongan!$B:$E,4,FALSE),0),K49*IFERROR(VLOOKUP(G49,Golongan!$B:$E,3,FALSE),0)),0)</x:f>
        <x:v>0</x:v>
      </x:c>
      <x:c r="S49" s="48" t="n">
        <x:f>IFERROR(VLOOKUP(I49,Jabatan!$B:$E,4,FALSE),0)</x:f>
        <x:v>0</x:v>
      </x:c>
      <x:c r="T49" s="48" t="n">
        <x:f>F49*IFERROR(VLOOKUP("Tunjangan Masa Kerja / Tahun",Komponen!$A:$E,5,FALSE),0)</x:f>
        <x:v>0</x:v>
      </x:c>
      <x:c r="U49" s="48" t="n">
        <x:f>SUMIF(Lembur!$L$2:$L$501,A49&amp;"|"&amp;B49,Lembur!$I$2:$I$501)</x:f>
        <x:v>0</x:v>
      </x:c>
      <x:c r="V49" s="48" t="n">
        <x:f>K49*IFERROR(VLOOKUP("Uang Makan / Hari",Komponen!$A:$E,5,FALSE),0)</x:f>
        <x:v>0</x:v>
      </x:c>
      <x:c r="W49" s="48" t="n">
        <x:f>0</x:f>
        <x:v>0</x:v>
      </x:c>
      <x:c r="X49" s="48" t="n">
        <x:f>SUM(P49:W49)</x:f>
        <x:v>0</x:v>
      </x:c>
      <x:c r="Y49" s="48" t="n">
        <x:f>O49*IFERROR(VLOOKUP("Potongan Alpha",Komponen!$A:$E,5,FALSE),0)</x:f>
        <x:v>0</x:v>
      </x:c>
      <x:c r="Z49" s="48" t="n">
        <x:f>L49*IFERROR(VLOOKUP("Potongan Telat",Komponen!$A:$E,5,FALSE),0)</x:f>
        <x:v>0</x:v>
      </x:c>
      <x:c r="AA49" s="48" t="n">
        <x:f>0</x:f>
        <x:v>0</x:v>
      </x:c>
      <x:c r="AB49" s="48" t="n">
        <x:f>SUM(Y49:AA49)</x:f>
        <x:v>0</x:v>
      </x:c>
      <x:c r="AC49" s="48" t="n">
        <x:f>0</x:f>
        <x:v>0</x:v>
      </x:c>
      <x:c r="AD49" s="48" t="n">
        <x:f>X49-AB49+AC49</x:f>
        <x:v>0</x:v>
      </x:c>
      <x:c r="AE49" s="41" t="str">
        <x:f>IFERROR(VLOOKUP(B49,Karyawan!$A:$L,10,FALSE),"")</x:f>
      </x:c>
      <x:c r="AF49" s="41" t="str">
        <x:f>IF(AD49&lt;=0,"Cek gaji bersih",IF(P49&lt;=0,"Cek gaji pokok",IF(H49="","Cek jabatan",IF(G49="","Cek golongan","OK"))))</x:f>
        <x:v>Cek gaji bersih</x:v>
      </x:c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 t="n">
        <x:f>B50</x:f>
        <x:v>0</x:v>
      </x:c>
      <x:c r="D50" s="41" t="str">
        <x:f>IFERROR(VLOOKUP(B50,Karyawan!$A:$L,2,FALSE),"")</x:f>
      </x:c>
      <x:c r="E50" s="41" t="str">
        <x:f>IFERROR(VLOOKUP(B50,Karyawan!$A:$L,3,FALSE),"")</x:f>
      </x:c>
      <x:c r="F50" s="41" t="n">
        <x:f>IFERROR(VLOOKUP(B50,Karyawan!$A:$L,8,FALSE),0)</x:f>
        <x:v>0</x:v>
      </x:c>
      <x:c r="G50" s="41" t="str">
        <x:f>IFERROR(VLOOKUP(B50,Karyawan!$A:$L,6,FALSE),"")</x:f>
      </x:c>
      <x:c r="H50" s="41" t="str">
        <x:f>IFERROR(VLOOKUP(B50,Karyawan!$A:$L,4,FALSE),"")</x:f>
      </x:c>
      <x:c r="I50" s="41" t="str">
        <x:f>IFERROR(VLOOKUP(B50,Karyawan!$A:$L,5,FALSE),"")</x:f>
      </x:c>
      <x:c r="J50" s="41" t="n">
        <x:f>24</x:f>
        <x:v>24</x:v>
      </x:c>
      <x:c r="K50" s="41" t="n">
        <x:f>24</x:f>
        <x:v>24</x:v>
      </x:c>
      <x:c r="L50" s="41" t="n">
        <x:f>0</x:f>
        <x:v>0</x:v>
      </x:c>
      <x:c r="M50" s="41" t="n">
        <x:f>0</x:f>
        <x:v>0</x:v>
      </x:c>
      <x:c r="N50" s="41" t="n">
        <x:f>0</x:f>
        <x:v>0</x:v>
      </x:c>
      <x:c r="O50" s="41" t="n">
        <x:f>0</x:f>
        <x:v>0</x:v>
      </x:c>
      <x:c r="P50" s="48" t="n">
        <x:f>IFERROR(VLOOKUP(G50,Golongan!$B:$E,2,FALSE),0)</x:f>
        <x:v>0</x:v>
      </x:c>
      <x:c r="Q50" s="48" t="n">
        <x:f>IFERROR(VLOOKUP(I50,Jabatan!$B:$E,3,FALSE),0)</x:f>
        <x:v>0</x:v>
      </x:c>
      <x:c r="R50" s="48" t="n">
        <x:f>IF(J50&gt;0,IF(K50&gt;=J50,IFERROR(VLOOKUP(G50,Golongan!$B:$E,4,FALSE),0),K50*IFERROR(VLOOKUP(G50,Golongan!$B:$E,3,FALSE),0)),0)</x:f>
        <x:v>0</x:v>
      </x:c>
      <x:c r="S50" s="48" t="n">
        <x:f>IFERROR(VLOOKUP(I50,Jabatan!$B:$E,4,FALSE),0)</x:f>
        <x:v>0</x:v>
      </x:c>
      <x:c r="T50" s="48" t="n">
        <x:f>F50*IFERROR(VLOOKUP("Tunjangan Masa Kerja / Tahun",Komponen!$A:$E,5,FALSE),0)</x:f>
        <x:v>0</x:v>
      </x:c>
      <x:c r="U50" s="48" t="n">
        <x:f>SUMIF(Lembur!$L$2:$L$501,A50&amp;"|"&amp;B50,Lembur!$I$2:$I$501)</x:f>
        <x:v>0</x:v>
      </x:c>
      <x:c r="V50" s="48" t="n">
        <x:f>K50*IFERROR(VLOOKUP("Uang Makan / Hari",Komponen!$A:$E,5,FALSE),0)</x:f>
        <x:v>0</x:v>
      </x:c>
      <x:c r="W50" s="48" t="n">
        <x:f>0</x:f>
        <x:v>0</x:v>
      </x:c>
      <x:c r="X50" s="48" t="n">
        <x:f>SUM(P50:W50)</x:f>
        <x:v>0</x:v>
      </x:c>
      <x:c r="Y50" s="48" t="n">
        <x:f>O50*IFERROR(VLOOKUP("Potongan Alpha",Komponen!$A:$E,5,FALSE),0)</x:f>
        <x:v>0</x:v>
      </x:c>
      <x:c r="Z50" s="48" t="n">
        <x:f>L50*IFERROR(VLOOKUP("Potongan Telat",Komponen!$A:$E,5,FALSE),0)</x:f>
        <x:v>0</x:v>
      </x:c>
      <x:c r="AA50" s="48" t="n">
        <x:f>0</x:f>
        <x:v>0</x:v>
      </x:c>
      <x:c r="AB50" s="48" t="n">
        <x:f>SUM(Y50:AA50)</x:f>
        <x:v>0</x:v>
      </x:c>
      <x:c r="AC50" s="48" t="n">
        <x:f>0</x:f>
        <x:v>0</x:v>
      </x:c>
      <x:c r="AD50" s="48" t="n">
        <x:f>X50-AB50+AC50</x:f>
        <x:v>0</x:v>
      </x:c>
      <x:c r="AE50" s="41" t="str">
        <x:f>IFERROR(VLOOKUP(B50,Karyawan!$A:$L,10,FALSE),"")</x:f>
      </x:c>
      <x:c r="AF50" s="41" t="str">
        <x:f>IF(AD50&lt;=0,"Cek gaji bersih",IF(P50&lt;=0,"Cek gaji pokok",IF(H50="","Cek jabatan",IF(G50="","Cek golongan","OK"))))</x:f>
        <x:v>Cek gaji bersih</x:v>
      </x:c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 t="n">
        <x:f>B51</x:f>
        <x:v>0</x:v>
      </x:c>
      <x:c r="D51" s="41" t="str">
        <x:f>IFERROR(VLOOKUP(B51,Karyawan!$A:$L,2,FALSE),"")</x:f>
      </x:c>
      <x:c r="E51" s="41" t="str">
        <x:f>IFERROR(VLOOKUP(B51,Karyawan!$A:$L,3,FALSE),"")</x:f>
      </x:c>
      <x:c r="F51" s="41" t="n">
        <x:f>IFERROR(VLOOKUP(B51,Karyawan!$A:$L,8,FALSE),0)</x:f>
        <x:v>0</x:v>
      </x:c>
      <x:c r="G51" s="41" t="str">
        <x:f>IFERROR(VLOOKUP(B51,Karyawan!$A:$L,6,FALSE),"")</x:f>
      </x:c>
      <x:c r="H51" s="41" t="str">
        <x:f>IFERROR(VLOOKUP(B51,Karyawan!$A:$L,4,FALSE),"")</x:f>
      </x:c>
      <x:c r="I51" s="41" t="str">
        <x:f>IFERROR(VLOOKUP(B51,Karyawan!$A:$L,5,FALSE),"")</x:f>
      </x:c>
      <x:c r="J51" s="41" t="n">
        <x:f>24</x:f>
        <x:v>24</x:v>
      </x:c>
      <x:c r="K51" s="41" t="n">
        <x:f>24</x:f>
        <x:v>24</x:v>
      </x:c>
      <x:c r="L51" s="41" t="n">
        <x:f>0</x:f>
        <x:v>0</x:v>
      </x:c>
      <x:c r="M51" s="41" t="n">
        <x:f>0</x:f>
        <x:v>0</x:v>
      </x:c>
      <x:c r="N51" s="41" t="n">
        <x:f>0</x:f>
        <x:v>0</x:v>
      </x:c>
      <x:c r="O51" s="41" t="n">
        <x:f>0</x:f>
        <x:v>0</x:v>
      </x:c>
      <x:c r="P51" s="48" t="n">
        <x:f>IFERROR(VLOOKUP(G51,Golongan!$B:$E,2,FALSE),0)</x:f>
        <x:v>0</x:v>
      </x:c>
      <x:c r="Q51" s="48" t="n">
        <x:f>IFERROR(VLOOKUP(I51,Jabatan!$B:$E,3,FALSE),0)</x:f>
        <x:v>0</x:v>
      </x:c>
      <x:c r="R51" s="48" t="n">
        <x:f>IF(J51&gt;0,IF(K51&gt;=J51,IFERROR(VLOOKUP(G51,Golongan!$B:$E,4,FALSE),0),K51*IFERROR(VLOOKUP(G51,Golongan!$B:$E,3,FALSE),0)),0)</x:f>
        <x:v>0</x:v>
      </x:c>
      <x:c r="S51" s="48" t="n">
        <x:f>IFERROR(VLOOKUP(I51,Jabatan!$B:$E,4,FALSE),0)</x:f>
        <x:v>0</x:v>
      </x:c>
      <x:c r="T51" s="48" t="n">
        <x:f>F51*IFERROR(VLOOKUP("Tunjangan Masa Kerja / Tahun",Komponen!$A:$E,5,FALSE),0)</x:f>
        <x:v>0</x:v>
      </x:c>
      <x:c r="U51" s="48" t="n">
        <x:f>SUMIF(Lembur!$L$2:$L$501,A51&amp;"|"&amp;B51,Lembur!$I$2:$I$501)</x:f>
        <x:v>0</x:v>
      </x:c>
      <x:c r="V51" s="48" t="n">
        <x:f>K51*IFERROR(VLOOKUP("Uang Makan / Hari",Komponen!$A:$E,5,FALSE),0)</x:f>
        <x:v>0</x:v>
      </x:c>
      <x:c r="W51" s="48" t="n">
        <x:f>0</x:f>
        <x:v>0</x:v>
      </x:c>
      <x:c r="X51" s="48" t="n">
        <x:f>SUM(P51:W51)</x:f>
        <x:v>0</x:v>
      </x:c>
      <x:c r="Y51" s="48" t="n">
        <x:f>O51*IFERROR(VLOOKUP("Potongan Alpha",Komponen!$A:$E,5,FALSE),0)</x:f>
        <x:v>0</x:v>
      </x:c>
      <x:c r="Z51" s="48" t="n">
        <x:f>L51*IFERROR(VLOOKUP("Potongan Telat",Komponen!$A:$E,5,FALSE),0)</x:f>
        <x:v>0</x:v>
      </x:c>
      <x:c r="AA51" s="48" t="n">
        <x:f>0</x:f>
        <x:v>0</x:v>
      </x:c>
      <x:c r="AB51" s="48" t="n">
        <x:f>SUM(Y51:AA51)</x:f>
        <x:v>0</x:v>
      </x:c>
      <x:c r="AC51" s="48" t="n">
        <x:f>0</x:f>
        <x:v>0</x:v>
      </x:c>
      <x:c r="AD51" s="48" t="n">
        <x:f>X51-AB51+AC51</x:f>
        <x:v>0</x:v>
      </x:c>
      <x:c r="AE51" s="41" t="str">
        <x:f>IFERROR(VLOOKUP(B51,Karyawan!$A:$L,10,FALSE),"")</x:f>
      </x:c>
      <x:c r="AF51" s="41" t="str">
        <x:f>IF(AD51&lt;=0,"Cek gaji bersih",IF(P51&lt;=0,"Cek gaji pokok",IF(H51="","Cek jabatan",IF(G51="","Cek golongan","OK"))))</x:f>
        <x:v>Cek gaji bersih</x:v>
      </x:c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 t="n">
        <x:f>B52</x:f>
        <x:v>0</x:v>
      </x:c>
      <x:c r="D52" s="41" t="str">
        <x:f>IFERROR(VLOOKUP(B52,Karyawan!$A:$L,2,FALSE),"")</x:f>
      </x:c>
      <x:c r="E52" s="41" t="str">
        <x:f>IFERROR(VLOOKUP(B52,Karyawan!$A:$L,3,FALSE),"")</x:f>
      </x:c>
      <x:c r="F52" s="41" t="n">
        <x:f>IFERROR(VLOOKUP(B52,Karyawan!$A:$L,8,FALSE),0)</x:f>
        <x:v>0</x:v>
      </x:c>
      <x:c r="G52" s="41" t="str">
        <x:f>IFERROR(VLOOKUP(B52,Karyawan!$A:$L,6,FALSE),"")</x:f>
      </x:c>
      <x:c r="H52" s="41" t="str">
        <x:f>IFERROR(VLOOKUP(B52,Karyawan!$A:$L,4,FALSE),"")</x:f>
      </x:c>
      <x:c r="I52" s="41" t="str">
        <x:f>IFERROR(VLOOKUP(B52,Karyawan!$A:$L,5,FALSE),"")</x:f>
      </x:c>
      <x:c r="J52" s="41" t="n">
        <x:f>24</x:f>
        <x:v>24</x:v>
      </x:c>
      <x:c r="K52" s="41" t="n">
        <x:f>24</x:f>
        <x:v>24</x:v>
      </x:c>
      <x:c r="L52" s="41" t="n">
        <x:f>0</x:f>
        <x:v>0</x:v>
      </x:c>
      <x:c r="M52" s="41" t="n">
        <x:f>0</x:f>
        <x:v>0</x:v>
      </x:c>
      <x:c r="N52" s="41" t="n">
        <x:f>0</x:f>
        <x:v>0</x:v>
      </x:c>
      <x:c r="O52" s="41" t="n">
        <x:f>0</x:f>
        <x:v>0</x:v>
      </x:c>
      <x:c r="P52" s="48" t="n">
        <x:f>IFERROR(VLOOKUP(G52,Golongan!$B:$E,2,FALSE),0)</x:f>
        <x:v>0</x:v>
      </x:c>
      <x:c r="Q52" s="48" t="n">
        <x:f>IFERROR(VLOOKUP(I52,Jabatan!$B:$E,3,FALSE),0)</x:f>
        <x:v>0</x:v>
      </x:c>
      <x:c r="R52" s="48" t="n">
        <x:f>IF(J52&gt;0,IF(K52&gt;=J52,IFERROR(VLOOKUP(G52,Golongan!$B:$E,4,FALSE),0),K52*IFERROR(VLOOKUP(G52,Golongan!$B:$E,3,FALSE),0)),0)</x:f>
        <x:v>0</x:v>
      </x:c>
      <x:c r="S52" s="48" t="n">
        <x:f>IFERROR(VLOOKUP(I52,Jabatan!$B:$E,4,FALSE),0)</x:f>
        <x:v>0</x:v>
      </x:c>
      <x:c r="T52" s="48" t="n">
        <x:f>F52*IFERROR(VLOOKUP("Tunjangan Masa Kerja / Tahun",Komponen!$A:$E,5,FALSE),0)</x:f>
        <x:v>0</x:v>
      </x:c>
      <x:c r="U52" s="48" t="n">
        <x:f>SUMIF(Lembur!$L$2:$L$501,A52&amp;"|"&amp;B52,Lembur!$I$2:$I$501)</x:f>
        <x:v>0</x:v>
      </x:c>
      <x:c r="V52" s="48" t="n">
        <x:f>K52*IFERROR(VLOOKUP("Uang Makan / Hari",Komponen!$A:$E,5,FALSE),0)</x:f>
        <x:v>0</x:v>
      </x:c>
      <x:c r="W52" s="48" t="n">
        <x:f>0</x:f>
        <x:v>0</x:v>
      </x:c>
      <x:c r="X52" s="48" t="n">
        <x:f>SUM(P52:W52)</x:f>
        <x:v>0</x:v>
      </x:c>
      <x:c r="Y52" s="48" t="n">
        <x:f>O52*IFERROR(VLOOKUP("Potongan Alpha",Komponen!$A:$E,5,FALSE),0)</x:f>
        <x:v>0</x:v>
      </x:c>
      <x:c r="Z52" s="48" t="n">
        <x:f>L52*IFERROR(VLOOKUP("Potongan Telat",Komponen!$A:$E,5,FALSE),0)</x:f>
        <x:v>0</x:v>
      </x:c>
      <x:c r="AA52" s="48" t="n">
        <x:f>0</x:f>
        <x:v>0</x:v>
      </x:c>
      <x:c r="AB52" s="48" t="n">
        <x:f>SUM(Y52:AA52)</x:f>
        <x:v>0</x:v>
      </x:c>
      <x:c r="AC52" s="48" t="n">
        <x:f>0</x:f>
        <x:v>0</x:v>
      </x:c>
      <x:c r="AD52" s="48" t="n">
        <x:f>X52-AB52+AC52</x:f>
        <x:v>0</x:v>
      </x:c>
      <x:c r="AE52" s="41" t="str">
        <x:f>IFERROR(VLOOKUP(B52,Karyawan!$A:$L,10,FALSE),"")</x:f>
      </x:c>
      <x:c r="AF52" s="41" t="str">
        <x:f>IF(AD52&lt;=0,"Cek gaji bersih",IF(P52&lt;=0,"Cek gaji pokok",IF(H52="","Cek jabatan",IF(G52="","Cek golongan","OK"))))</x:f>
        <x:v>Cek gaji bersih</x:v>
      </x:c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 t="n">
        <x:f>B53</x:f>
        <x:v>0</x:v>
      </x:c>
      <x:c r="D53" s="41" t="str">
        <x:f>IFERROR(VLOOKUP(B53,Karyawan!$A:$L,2,FALSE),"")</x:f>
      </x:c>
      <x:c r="E53" s="41" t="str">
        <x:f>IFERROR(VLOOKUP(B53,Karyawan!$A:$L,3,FALSE),"")</x:f>
      </x:c>
      <x:c r="F53" s="41" t="n">
        <x:f>IFERROR(VLOOKUP(B53,Karyawan!$A:$L,8,FALSE),0)</x:f>
        <x:v>0</x:v>
      </x:c>
      <x:c r="G53" s="41" t="str">
        <x:f>IFERROR(VLOOKUP(B53,Karyawan!$A:$L,6,FALSE),"")</x:f>
      </x:c>
      <x:c r="H53" s="41" t="str">
        <x:f>IFERROR(VLOOKUP(B53,Karyawan!$A:$L,4,FALSE),"")</x:f>
      </x:c>
      <x:c r="I53" s="41" t="str">
        <x:f>IFERROR(VLOOKUP(B53,Karyawan!$A:$L,5,FALSE),"")</x:f>
      </x:c>
      <x:c r="J53" s="41" t="n">
        <x:f>24</x:f>
        <x:v>24</x:v>
      </x:c>
      <x:c r="K53" s="41" t="n">
        <x:f>24</x:f>
        <x:v>24</x:v>
      </x:c>
      <x:c r="L53" s="41" t="n">
        <x:f>0</x:f>
        <x:v>0</x:v>
      </x:c>
      <x:c r="M53" s="41" t="n">
        <x:f>0</x:f>
        <x:v>0</x:v>
      </x:c>
      <x:c r="N53" s="41" t="n">
        <x:f>0</x:f>
        <x:v>0</x:v>
      </x:c>
      <x:c r="O53" s="41" t="n">
        <x:f>0</x:f>
        <x:v>0</x:v>
      </x:c>
      <x:c r="P53" s="48" t="n">
        <x:f>IFERROR(VLOOKUP(G53,Golongan!$B:$E,2,FALSE),0)</x:f>
        <x:v>0</x:v>
      </x:c>
      <x:c r="Q53" s="48" t="n">
        <x:f>IFERROR(VLOOKUP(I53,Jabatan!$B:$E,3,FALSE),0)</x:f>
        <x:v>0</x:v>
      </x:c>
      <x:c r="R53" s="48" t="n">
        <x:f>IF(J53&gt;0,IF(K53&gt;=J53,IFERROR(VLOOKUP(G53,Golongan!$B:$E,4,FALSE),0),K53*IFERROR(VLOOKUP(G53,Golongan!$B:$E,3,FALSE),0)),0)</x:f>
        <x:v>0</x:v>
      </x:c>
      <x:c r="S53" s="48" t="n">
        <x:f>IFERROR(VLOOKUP(I53,Jabatan!$B:$E,4,FALSE),0)</x:f>
        <x:v>0</x:v>
      </x:c>
      <x:c r="T53" s="48" t="n">
        <x:f>F53*IFERROR(VLOOKUP("Tunjangan Masa Kerja / Tahun",Komponen!$A:$E,5,FALSE),0)</x:f>
        <x:v>0</x:v>
      </x:c>
      <x:c r="U53" s="48" t="n">
        <x:f>SUMIF(Lembur!$L$2:$L$501,A53&amp;"|"&amp;B53,Lembur!$I$2:$I$501)</x:f>
        <x:v>0</x:v>
      </x:c>
      <x:c r="V53" s="48" t="n">
        <x:f>K53*IFERROR(VLOOKUP("Uang Makan / Hari",Komponen!$A:$E,5,FALSE),0)</x:f>
        <x:v>0</x:v>
      </x:c>
      <x:c r="W53" s="48" t="n">
        <x:f>0</x:f>
        <x:v>0</x:v>
      </x:c>
      <x:c r="X53" s="48" t="n">
        <x:f>SUM(P53:W53)</x:f>
        <x:v>0</x:v>
      </x:c>
      <x:c r="Y53" s="48" t="n">
        <x:f>O53*IFERROR(VLOOKUP("Potongan Alpha",Komponen!$A:$E,5,FALSE),0)</x:f>
        <x:v>0</x:v>
      </x:c>
      <x:c r="Z53" s="48" t="n">
        <x:f>L53*IFERROR(VLOOKUP("Potongan Telat",Komponen!$A:$E,5,FALSE),0)</x:f>
        <x:v>0</x:v>
      </x:c>
      <x:c r="AA53" s="48" t="n">
        <x:f>0</x:f>
        <x:v>0</x:v>
      </x:c>
      <x:c r="AB53" s="48" t="n">
        <x:f>SUM(Y53:AA53)</x:f>
        <x:v>0</x:v>
      </x:c>
      <x:c r="AC53" s="48" t="n">
        <x:f>0</x:f>
        <x:v>0</x:v>
      </x:c>
      <x:c r="AD53" s="48" t="n">
        <x:f>X53-AB53+AC53</x:f>
        <x:v>0</x:v>
      </x:c>
      <x:c r="AE53" s="41" t="str">
        <x:f>IFERROR(VLOOKUP(B53,Karyawan!$A:$L,10,FALSE),"")</x:f>
      </x:c>
      <x:c r="AF53" s="41" t="str">
        <x:f>IF(AD53&lt;=0,"Cek gaji bersih",IF(P53&lt;=0,"Cek gaji pokok",IF(H53="","Cek jabatan",IF(G53="","Cek golongan","OK"))))</x:f>
        <x:v>Cek gaji bersih</x:v>
      </x:c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 t="n">
        <x:f>B54</x:f>
        <x:v>0</x:v>
      </x:c>
      <x:c r="D54" s="41" t="str">
        <x:f>IFERROR(VLOOKUP(B54,Karyawan!$A:$L,2,FALSE),"")</x:f>
      </x:c>
      <x:c r="E54" s="41" t="str">
        <x:f>IFERROR(VLOOKUP(B54,Karyawan!$A:$L,3,FALSE),"")</x:f>
      </x:c>
      <x:c r="F54" s="41" t="n">
        <x:f>IFERROR(VLOOKUP(B54,Karyawan!$A:$L,8,FALSE),0)</x:f>
        <x:v>0</x:v>
      </x:c>
      <x:c r="G54" s="41" t="str">
        <x:f>IFERROR(VLOOKUP(B54,Karyawan!$A:$L,6,FALSE),"")</x:f>
      </x:c>
      <x:c r="H54" s="41" t="str">
        <x:f>IFERROR(VLOOKUP(B54,Karyawan!$A:$L,4,FALSE),"")</x:f>
      </x:c>
      <x:c r="I54" s="41" t="str">
        <x:f>IFERROR(VLOOKUP(B54,Karyawan!$A:$L,5,FALSE),"")</x:f>
      </x:c>
      <x:c r="J54" s="41" t="n">
        <x:f>24</x:f>
        <x:v>24</x:v>
      </x:c>
      <x:c r="K54" s="41" t="n">
        <x:f>24</x:f>
        <x:v>24</x:v>
      </x:c>
      <x:c r="L54" s="41" t="n">
        <x:f>0</x:f>
        <x:v>0</x:v>
      </x:c>
      <x:c r="M54" s="41" t="n">
        <x:f>0</x:f>
        <x:v>0</x:v>
      </x:c>
      <x:c r="N54" s="41" t="n">
        <x:f>0</x:f>
        <x:v>0</x:v>
      </x:c>
      <x:c r="O54" s="41" t="n">
        <x:f>0</x:f>
        <x:v>0</x:v>
      </x:c>
      <x:c r="P54" s="48" t="n">
        <x:f>IFERROR(VLOOKUP(G54,Golongan!$B:$E,2,FALSE),0)</x:f>
        <x:v>0</x:v>
      </x:c>
      <x:c r="Q54" s="48" t="n">
        <x:f>IFERROR(VLOOKUP(I54,Jabatan!$B:$E,3,FALSE),0)</x:f>
        <x:v>0</x:v>
      </x:c>
      <x:c r="R54" s="48" t="n">
        <x:f>IF(J54&gt;0,IF(K54&gt;=J54,IFERROR(VLOOKUP(G54,Golongan!$B:$E,4,FALSE),0),K54*IFERROR(VLOOKUP(G54,Golongan!$B:$E,3,FALSE),0)),0)</x:f>
        <x:v>0</x:v>
      </x:c>
      <x:c r="S54" s="48" t="n">
        <x:f>IFERROR(VLOOKUP(I54,Jabatan!$B:$E,4,FALSE),0)</x:f>
        <x:v>0</x:v>
      </x:c>
      <x:c r="T54" s="48" t="n">
        <x:f>F54*IFERROR(VLOOKUP("Tunjangan Masa Kerja / Tahun",Komponen!$A:$E,5,FALSE),0)</x:f>
        <x:v>0</x:v>
      </x:c>
      <x:c r="U54" s="48" t="n">
        <x:f>SUMIF(Lembur!$L$2:$L$501,A54&amp;"|"&amp;B54,Lembur!$I$2:$I$501)</x:f>
        <x:v>0</x:v>
      </x:c>
      <x:c r="V54" s="48" t="n">
        <x:f>K54*IFERROR(VLOOKUP("Uang Makan / Hari",Komponen!$A:$E,5,FALSE),0)</x:f>
        <x:v>0</x:v>
      </x:c>
      <x:c r="W54" s="48" t="n">
        <x:f>0</x:f>
        <x:v>0</x:v>
      </x:c>
      <x:c r="X54" s="48" t="n">
        <x:f>SUM(P54:W54)</x:f>
        <x:v>0</x:v>
      </x:c>
      <x:c r="Y54" s="48" t="n">
        <x:f>O54*IFERROR(VLOOKUP("Potongan Alpha",Komponen!$A:$E,5,FALSE),0)</x:f>
        <x:v>0</x:v>
      </x:c>
      <x:c r="Z54" s="48" t="n">
        <x:f>L54*IFERROR(VLOOKUP("Potongan Telat",Komponen!$A:$E,5,FALSE),0)</x:f>
        <x:v>0</x:v>
      </x:c>
      <x:c r="AA54" s="48" t="n">
        <x:f>0</x:f>
        <x:v>0</x:v>
      </x:c>
      <x:c r="AB54" s="48" t="n">
        <x:f>SUM(Y54:AA54)</x:f>
        <x:v>0</x:v>
      </x:c>
      <x:c r="AC54" s="48" t="n">
        <x:f>0</x:f>
        <x:v>0</x:v>
      </x:c>
      <x:c r="AD54" s="48" t="n">
        <x:f>X54-AB54+AC54</x:f>
        <x:v>0</x:v>
      </x:c>
      <x:c r="AE54" s="41" t="str">
        <x:f>IFERROR(VLOOKUP(B54,Karyawan!$A:$L,10,FALSE),"")</x:f>
      </x:c>
      <x:c r="AF54" s="41" t="str">
        <x:f>IF(AD54&lt;=0,"Cek gaji bersih",IF(P54&lt;=0,"Cek gaji pokok",IF(H54="","Cek jabatan",IF(G54="","Cek golongan","OK"))))</x:f>
        <x:v>Cek gaji bersih</x:v>
      </x:c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 t="n">
        <x:f>B55</x:f>
        <x:v>0</x:v>
      </x:c>
      <x:c r="D55" s="41" t="str">
        <x:f>IFERROR(VLOOKUP(B55,Karyawan!$A:$L,2,FALSE),"")</x:f>
      </x:c>
      <x:c r="E55" s="41" t="str">
        <x:f>IFERROR(VLOOKUP(B55,Karyawan!$A:$L,3,FALSE),"")</x:f>
      </x:c>
      <x:c r="F55" s="41" t="n">
        <x:f>IFERROR(VLOOKUP(B55,Karyawan!$A:$L,8,FALSE),0)</x:f>
        <x:v>0</x:v>
      </x:c>
      <x:c r="G55" s="41" t="str">
        <x:f>IFERROR(VLOOKUP(B55,Karyawan!$A:$L,6,FALSE),"")</x:f>
      </x:c>
      <x:c r="H55" s="41" t="str">
        <x:f>IFERROR(VLOOKUP(B55,Karyawan!$A:$L,4,FALSE),"")</x:f>
      </x:c>
      <x:c r="I55" s="41" t="str">
        <x:f>IFERROR(VLOOKUP(B55,Karyawan!$A:$L,5,FALSE),"")</x:f>
      </x:c>
      <x:c r="J55" s="41" t="n">
        <x:f>24</x:f>
        <x:v>24</x:v>
      </x:c>
      <x:c r="K55" s="41" t="n">
        <x:f>24</x:f>
        <x:v>24</x:v>
      </x:c>
      <x:c r="L55" s="41" t="n">
        <x:f>0</x:f>
        <x:v>0</x:v>
      </x:c>
      <x:c r="M55" s="41" t="n">
        <x:f>0</x:f>
        <x:v>0</x:v>
      </x:c>
      <x:c r="N55" s="41" t="n">
        <x:f>0</x:f>
        <x:v>0</x:v>
      </x:c>
      <x:c r="O55" s="41" t="n">
        <x:f>0</x:f>
        <x:v>0</x:v>
      </x:c>
      <x:c r="P55" s="48" t="n">
        <x:f>IFERROR(VLOOKUP(G55,Golongan!$B:$E,2,FALSE),0)</x:f>
        <x:v>0</x:v>
      </x:c>
      <x:c r="Q55" s="48" t="n">
        <x:f>IFERROR(VLOOKUP(I55,Jabatan!$B:$E,3,FALSE),0)</x:f>
        <x:v>0</x:v>
      </x:c>
      <x:c r="R55" s="48" t="n">
        <x:f>IF(J55&gt;0,IF(K55&gt;=J55,IFERROR(VLOOKUP(G55,Golongan!$B:$E,4,FALSE),0),K55*IFERROR(VLOOKUP(G55,Golongan!$B:$E,3,FALSE),0)),0)</x:f>
        <x:v>0</x:v>
      </x:c>
      <x:c r="S55" s="48" t="n">
        <x:f>IFERROR(VLOOKUP(I55,Jabatan!$B:$E,4,FALSE),0)</x:f>
        <x:v>0</x:v>
      </x:c>
      <x:c r="T55" s="48" t="n">
        <x:f>F55*IFERROR(VLOOKUP("Tunjangan Masa Kerja / Tahun",Komponen!$A:$E,5,FALSE),0)</x:f>
        <x:v>0</x:v>
      </x:c>
      <x:c r="U55" s="48" t="n">
        <x:f>SUMIF(Lembur!$L$2:$L$501,A55&amp;"|"&amp;B55,Lembur!$I$2:$I$501)</x:f>
        <x:v>0</x:v>
      </x:c>
      <x:c r="V55" s="48" t="n">
        <x:f>K55*IFERROR(VLOOKUP("Uang Makan / Hari",Komponen!$A:$E,5,FALSE),0)</x:f>
        <x:v>0</x:v>
      </x:c>
      <x:c r="W55" s="48" t="n">
        <x:f>0</x:f>
        <x:v>0</x:v>
      </x:c>
      <x:c r="X55" s="48" t="n">
        <x:f>SUM(P55:W55)</x:f>
        <x:v>0</x:v>
      </x:c>
      <x:c r="Y55" s="48" t="n">
        <x:f>O55*IFERROR(VLOOKUP("Potongan Alpha",Komponen!$A:$E,5,FALSE),0)</x:f>
        <x:v>0</x:v>
      </x:c>
      <x:c r="Z55" s="48" t="n">
        <x:f>L55*IFERROR(VLOOKUP("Potongan Telat",Komponen!$A:$E,5,FALSE),0)</x:f>
        <x:v>0</x:v>
      </x:c>
      <x:c r="AA55" s="48" t="n">
        <x:f>0</x:f>
        <x:v>0</x:v>
      </x:c>
      <x:c r="AB55" s="48" t="n">
        <x:f>SUM(Y55:AA55)</x:f>
        <x:v>0</x:v>
      </x:c>
      <x:c r="AC55" s="48" t="n">
        <x:f>0</x:f>
        <x:v>0</x:v>
      </x:c>
      <x:c r="AD55" s="48" t="n">
        <x:f>X55-AB55+AC55</x:f>
        <x:v>0</x:v>
      </x:c>
      <x:c r="AE55" s="41" t="str">
        <x:f>IFERROR(VLOOKUP(B55,Karyawan!$A:$L,10,FALSE),"")</x:f>
      </x:c>
      <x:c r="AF55" s="41" t="str">
        <x:f>IF(AD55&lt;=0,"Cek gaji bersih",IF(P55&lt;=0,"Cek gaji pokok",IF(H55="","Cek jabatan",IF(G55="","Cek golongan","OK"))))</x:f>
        <x:v>Cek gaji bersih</x:v>
      </x:c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 t="n">
        <x:f>B56</x:f>
        <x:v>0</x:v>
      </x:c>
      <x:c r="D56" s="41" t="str">
        <x:f>IFERROR(VLOOKUP(B56,Karyawan!$A:$L,2,FALSE),"")</x:f>
      </x:c>
      <x:c r="E56" s="41" t="str">
        <x:f>IFERROR(VLOOKUP(B56,Karyawan!$A:$L,3,FALSE),"")</x:f>
      </x:c>
      <x:c r="F56" s="41" t="n">
        <x:f>IFERROR(VLOOKUP(B56,Karyawan!$A:$L,8,FALSE),0)</x:f>
        <x:v>0</x:v>
      </x:c>
      <x:c r="G56" s="41" t="str">
        <x:f>IFERROR(VLOOKUP(B56,Karyawan!$A:$L,6,FALSE),"")</x:f>
      </x:c>
      <x:c r="H56" s="41" t="str">
        <x:f>IFERROR(VLOOKUP(B56,Karyawan!$A:$L,4,FALSE),"")</x:f>
      </x:c>
      <x:c r="I56" s="41" t="str">
        <x:f>IFERROR(VLOOKUP(B56,Karyawan!$A:$L,5,FALSE),"")</x:f>
      </x:c>
      <x:c r="J56" s="41" t="n">
        <x:f>24</x:f>
        <x:v>24</x:v>
      </x:c>
      <x:c r="K56" s="41" t="n">
        <x:f>24</x:f>
        <x:v>24</x:v>
      </x:c>
      <x:c r="L56" s="41" t="n">
        <x:f>0</x:f>
        <x:v>0</x:v>
      </x:c>
      <x:c r="M56" s="41" t="n">
        <x:f>0</x:f>
        <x:v>0</x:v>
      </x:c>
      <x:c r="N56" s="41" t="n">
        <x:f>0</x:f>
        <x:v>0</x:v>
      </x:c>
      <x:c r="O56" s="41" t="n">
        <x:f>0</x:f>
        <x:v>0</x:v>
      </x:c>
      <x:c r="P56" s="48" t="n">
        <x:f>IFERROR(VLOOKUP(G56,Golongan!$B:$E,2,FALSE),0)</x:f>
        <x:v>0</x:v>
      </x:c>
      <x:c r="Q56" s="48" t="n">
        <x:f>IFERROR(VLOOKUP(I56,Jabatan!$B:$E,3,FALSE),0)</x:f>
        <x:v>0</x:v>
      </x:c>
      <x:c r="R56" s="48" t="n">
        <x:f>IF(J56&gt;0,IF(K56&gt;=J56,IFERROR(VLOOKUP(G56,Golongan!$B:$E,4,FALSE),0),K56*IFERROR(VLOOKUP(G56,Golongan!$B:$E,3,FALSE),0)),0)</x:f>
        <x:v>0</x:v>
      </x:c>
      <x:c r="S56" s="48" t="n">
        <x:f>IFERROR(VLOOKUP(I56,Jabatan!$B:$E,4,FALSE),0)</x:f>
        <x:v>0</x:v>
      </x:c>
      <x:c r="T56" s="48" t="n">
        <x:f>F56*IFERROR(VLOOKUP("Tunjangan Masa Kerja / Tahun",Komponen!$A:$E,5,FALSE),0)</x:f>
        <x:v>0</x:v>
      </x:c>
      <x:c r="U56" s="48" t="n">
        <x:f>SUMIF(Lembur!$L$2:$L$501,A56&amp;"|"&amp;B56,Lembur!$I$2:$I$501)</x:f>
        <x:v>0</x:v>
      </x:c>
      <x:c r="V56" s="48" t="n">
        <x:f>K56*IFERROR(VLOOKUP("Uang Makan / Hari",Komponen!$A:$E,5,FALSE),0)</x:f>
        <x:v>0</x:v>
      </x:c>
      <x:c r="W56" s="48" t="n">
        <x:f>0</x:f>
        <x:v>0</x:v>
      </x:c>
      <x:c r="X56" s="48" t="n">
        <x:f>SUM(P56:W56)</x:f>
        <x:v>0</x:v>
      </x:c>
      <x:c r="Y56" s="48" t="n">
        <x:f>O56*IFERROR(VLOOKUP("Potongan Alpha",Komponen!$A:$E,5,FALSE),0)</x:f>
        <x:v>0</x:v>
      </x:c>
      <x:c r="Z56" s="48" t="n">
        <x:f>L56*IFERROR(VLOOKUP("Potongan Telat",Komponen!$A:$E,5,FALSE),0)</x:f>
        <x:v>0</x:v>
      </x:c>
      <x:c r="AA56" s="48" t="n">
        <x:f>0</x:f>
        <x:v>0</x:v>
      </x:c>
      <x:c r="AB56" s="48" t="n">
        <x:f>SUM(Y56:AA56)</x:f>
        <x:v>0</x:v>
      </x:c>
      <x:c r="AC56" s="48" t="n">
        <x:f>0</x:f>
        <x:v>0</x:v>
      </x:c>
      <x:c r="AD56" s="48" t="n">
        <x:f>X56-AB56+AC56</x:f>
        <x:v>0</x:v>
      </x:c>
      <x:c r="AE56" s="41" t="str">
        <x:f>IFERROR(VLOOKUP(B56,Karyawan!$A:$L,10,FALSE),"")</x:f>
      </x:c>
      <x:c r="AF56" s="41" t="str">
        <x:f>IF(AD56&lt;=0,"Cek gaji bersih",IF(P56&lt;=0,"Cek gaji pokok",IF(H56="","Cek jabatan",IF(G56="","Cek golongan","OK"))))</x:f>
        <x:v>Cek gaji bersih</x:v>
      </x:c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 t="n">
        <x:f>B57</x:f>
        <x:v>0</x:v>
      </x:c>
      <x:c r="D57" s="41" t="str">
        <x:f>IFERROR(VLOOKUP(B57,Karyawan!$A:$L,2,FALSE),"")</x:f>
      </x:c>
      <x:c r="E57" s="41" t="str">
        <x:f>IFERROR(VLOOKUP(B57,Karyawan!$A:$L,3,FALSE),"")</x:f>
      </x:c>
      <x:c r="F57" s="41" t="n">
        <x:f>IFERROR(VLOOKUP(B57,Karyawan!$A:$L,8,FALSE),0)</x:f>
        <x:v>0</x:v>
      </x:c>
      <x:c r="G57" s="41" t="str">
        <x:f>IFERROR(VLOOKUP(B57,Karyawan!$A:$L,6,FALSE),"")</x:f>
      </x:c>
      <x:c r="H57" s="41" t="str">
        <x:f>IFERROR(VLOOKUP(B57,Karyawan!$A:$L,4,FALSE),"")</x:f>
      </x:c>
      <x:c r="I57" s="41" t="str">
        <x:f>IFERROR(VLOOKUP(B57,Karyawan!$A:$L,5,FALSE),"")</x:f>
      </x:c>
      <x:c r="J57" s="41" t="n">
        <x:f>24</x:f>
        <x:v>24</x:v>
      </x:c>
      <x:c r="K57" s="41" t="n">
        <x:f>24</x:f>
        <x:v>24</x:v>
      </x:c>
      <x:c r="L57" s="41" t="n">
        <x:f>0</x:f>
        <x:v>0</x:v>
      </x:c>
      <x:c r="M57" s="41" t="n">
        <x:f>0</x:f>
        <x:v>0</x:v>
      </x:c>
      <x:c r="N57" s="41" t="n">
        <x:f>0</x:f>
        <x:v>0</x:v>
      </x:c>
      <x:c r="O57" s="41" t="n">
        <x:f>0</x:f>
        <x:v>0</x:v>
      </x:c>
      <x:c r="P57" s="48" t="n">
        <x:f>IFERROR(VLOOKUP(G57,Golongan!$B:$E,2,FALSE),0)</x:f>
        <x:v>0</x:v>
      </x:c>
      <x:c r="Q57" s="48" t="n">
        <x:f>IFERROR(VLOOKUP(I57,Jabatan!$B:$E,3,FALSE),0)</x:f>
        <x:v>0</x:v>
      </x:c>
      <x:c r="R57" s="48" t="n">
        <x:f>IF(J57&gt;0,IF(K57&gt;=J57,IFERROR(VLOOKUP(G57,Golongan!$B:$E,4,FALSE),0),K57*IFERROR(VLOOKUP(G57,Golongan!$B:$E,3,FALSE),0)),0)</x:f>
        <x:v>0</x:v>
      </x:c>
      <x:c r="S57" s="48" t="n">
        <x:f>IFERROR(VLOOKUP(I57,Jabatan!$B:$E,4,FALSE),0)</x:f>
        <x:v>0</x:v>
      </x:c>
      <x:c r="T57" s="48" t="n">
        <x:f>F57*IFERROR(VLOOKUP("Tunjangan Masa Kerja / Tahun",Komponen!$A:$E,5,FALSE),0)</x:f>
        <x:v>0</x:v>
      </x:c>
      <x:c r="U57" s="48" t="n">
        <x:f>SUMIF(Lembur!$L$2:$L$501,A57&amp;"|"&amp;B57,Lembur!$I$2:$I$501)</x:f>
        <x:v>0</x:v>
      </x:c>
      <x:c r="V57" s="48" t="n">
        <x:f>K57*IFERROR(VLOOKUP("Uang Makan / Hari",Komponen!$A:$E,5,FALSE),0)</x:f>
        <x:v>0</x:v>
      </x:c>
      <x:c r="W57" s="48" t="n">
        <x:f>0</x:f>
        <x:v>0</x:v>
      </x:c>
      <x:c r="X57" s="48" t="n">
        <x:f>SUM(P57:W57)</x:f>
        <x:v>0</x:v>
      </x:c>
      <x:c r="Y57" s="48" t="n">
        <x:f>O57*IFERROR(VLOOKUP("Potongan Alpha",Komponen!$A:$E,5,FALSE),0)</x:f>
        <x:v>0</x:v>
      </x:c>
      <x:c r="Z57" s="48" t="n">
        <x:f>L57*IFERROR(VLOOKUP("Potongan Telat",Komponen!$A:$E,5,FALSE),0)</x:f>
        <x:v>0</x:v>
      </x:c>
      <x:c r="AA57" s="48" t="n">
        <x:f>0</x:f>
        <x:v>0</x:v>
      </x:c>
      <x:c r="AB57" s="48" t="n">
        <x:f>SUM(Y57:AA57)</x:f>
        <x:v>0</x:v>
      </x:c>
      <x:c r="AC57" s="48" t="n">
        <x:f>0</x:f>
        <x:v>0</x:v>
      </x:c>
      <x:c r="AD57" s="48" t="n">
        <x:f>X57-AB57+AC57</x:f>
        <x:v>0</x:v>
      </x:c>
      <x:c r="AE57" s="41" t="str">
        <x:f>IFERROR(VLOOKUP(B57,Karyawan!$A:$L,10,FALSE),"")</x:f>
      </x:c>
      <x:c r="AF57" s="41" t="str">
        <x:f>IF(AD57&lt;=0,"Cek gaji bersih",IF(P57&lt;=0,"Cek gaji pokok",IF(H57="","Cek jabatan",IF(G57="","Cek golongan","OK"))))</x:f>
        <x:v>Cek gaji bersih</x:v>
      </x:c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 t="n">
        <x:f>B58</x:f>
        <x:v>0</x:v>
      </x:c>
      <x:c r="D58" s="41" t="str">
        <x:f>IFERROR(VLOOKUP(B58,Karyawan!$A:$L,2,FALSE),"")</x:f>
      </x:c>
      <x:c r="E58" s="41" t="str">
        <x:f>IFERROR(VLOOKUP(B58,Karyawan!$A:$L,3,FALSE),"")</x:f>
      </x:c>
      <x:c r="F58" s="41" t="n">
        <x:f>IFERROR(VLOOKUP(B58,Karyawan!$A:$L,8,FALSE),0)</x:f>
        <x:v>0</x:v>
      </x:c>
      <x:c r="G58" s="41" t="str">
        <x:f>IFERROR(VLOOKUP(B58,Karyawan!$A:$L,6,FALSE),"")</x:f>
      </x:c>
      <x:c r="H58" s="41" t="str">
        <x:f>IFERROR(VLOOKUP(B58,Karyawan!$A:$L,4,FALSE),"")</x:f>
      </x:c>
      <x:c r="I58" s="41" t="str">
        <x:f>IFERROR(VLOOKUP(B58,Karyawan!$A:$L,5,FALSE),"")</x:f>
      </x:c>
      <x:c r="J58" s="41" t="n">
        <x:f>24</x:f>
        <x:v>24</x:v>
      </x:c>
      <x:c r="K58" s="41" t="n">
        <x:f>24</x:f>
        <x:v>24</x:v>
      </x:c>
      <x:c r="L58" s="41" t="n">
        <x:f>0</x:f>
        <x:v>0</x:v>
      </x:c>
      <x:c r="M58" s="41" t="n">
        <x:f>0</x:f>
        <x:v>0</x:v>
      </x:c>
      <x:c r="N58" s="41" t="n">
        <x:f>0</x:f>
        <x:v>0</x:v>
      </x:c>
      <x:c r="O58" s="41" t="n">
        <x:f>0</x:f>
        <x:v>0</x:v>
      </x:c>
      <x:c r="P58" s="48" t="n">
        <x:f>IFERROR(VLOOKUP(G58,Golongan!$B:$E,2,FALSE),0)</x:f>
        <x:v>0</x:v>
      </x:c>
      <x:c r="Q58" s="48" t="n">
        <x:f>IFERROR(VLOOKUP(I58,Jabatan!$B:$E,3,FALSE),0)</x:f>
        <x:v>0</x:v>
      </x:c>
      <x:c r="R58" s="48" t="n">
        <x:f>IF(J58&gt;0,IF(K58&gt;=J58,IFERROR(VLOOKUP(G58,Golongan!$B:$E,4,FALSE),0),K58*IFERROR(VLOOKUP(G58,Golongan!$B:$E,3,FALSE),0)),0)</x:f>
        <x:v>0</x:v>
      </x:c>
      <x:c r="S58" s="48" t="n">
        <x:f>IFERROR(VLOOKUP(I58,Jabatan!$B:$E,4,FALSE),0)</x:f>
        <x:v>0</x:v>
      </x:c>
      <x:c r="T58" s="48" t="n">
        <x:f>F58*IFERROR(VLOOKUP("Tunjangan Masa Kerja / Tahun",Komponen!$A:$E,5,FALSE),0)</x:f>
        <x:v>0</x:v>
      </x:c>
      <x:c r="U58" s="48" t="n">
        <x:f>SUMIF(Lembur!$L$2:$L$501,A58&amp;"|"&amp;B58,Lembur!$I$2:$I$501)</x:f>
        <x:v>0</x:v>
      </x:c>
      <x:c r="V58" s="48" t="n">
        <x:f>K58*IFERROR(VLOOKUP("Uang Makan / Hari",Komponen!$A:$E,5,FALSE),0)</x:f>
        <x:v>0</x:v>
      </x:c>
      <x:c r="W58" s="48" t="n">
        <x:f>0</x:f>
        <x:v>0</x:v>
      </x:c>
      <x:c r="X58" s="48" t="n">
        <x:f>SUM(P58:W58)</x:f>
        <x:v>0</x:v>
      </x:c>
      <x:c r="Y58" s="48" t="n">
        <x:f>O58*IFERROR(VLOOKUP("Potongan Alpha",Komponen!$A:$E,5,FALSE),0)</x:f>
        <x:v>0</x:v>
      </x:c>
      <x:c r="Z58" s="48" t="n">
        <x:f>L58*IFERROR(VLOOKUP("Potongan Telat",Komponen!$A:$E,5,FALSE),0)</x:f>
        <x:v>0</x:v>
      </x:c>
      <x:c r="AA58" s="48" t="n">
        <x:f>0</x:f>
        <x:v>0</x:v>
      </x:c>
      <x:c r="AB58" s="48" t="n">
        <x:f>SUM(Y58:AA58)</x:f>
        <x:v>0</x:v>
      </x:c>
      <x:c r="AC58" s="48" t="n">
        <x:f>0</x:f>
        <x:v>0</x:v>
      </x:c>
      <x:c r="AD58" s="48" t="n">
        <x:f>X58-AB58+AC58</x:f>
        <x:v>0</x:v>
      </x:c>
      <x:c r="AE58" s="41" t="str">
        <x:f>IFERROR(VLOOKUP(B58,Karyawan!$A:$L,10,FALSE),"")</x:f>
      </x:c>
      <x:c r="AF58" s="41" t="str">
        <x:f>IF(AD58&lt;=0,"Cek gaji bersih",IF(P58&lt;=0,"Cek gaji pokok",IF(H58="","Cek jabatan",IF(G58="","Cek golongan","OK"))))</x:f>
        <x:v>Cek gaji bersih</x:v>
      </x:c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 t="n">
        <x:f>B59</x:f>
        <x:v>0</x:v>
      </x:c>
      <x:c r="D59" s="41" t="str">
        <x:f>IFERROR(VLOOKUP(B59,Karyawan!$A:$L,2,FALSE),"")</x:f>
      </x:c>
      <x:c r="E59" s="41" t="str">
        <x:f>IFERROR(VLOOKUP(B59,Karyawan!$A:$L,3,FALSE),"")</x:f>
      </x:c>
      <x:c r="F59" s="41" t="n">
        <x:f>IFERROR(VLOOKUP(B59,Karyawan!$A:$L,8,FALSE),0)</x:f>
        <x:v>0</x:v>
      </x:c>
      <x:c r="G59" s="41" t="str">
        <x:f>IFERROR(VLOOKUP(B59,Karyawan!$A:$L,6,FALSE),"")</x:f>
      </x:c>
      <x:c r="H59" s="41" t="str">
        <x:f>IFERROR(VLOOKUP(B59,Karyawan!$A:$L,4,FALSE),"")</x:f>
      </x:c>
      <x:c r="I59" s="41" t="str">
        <x:f>IFERROR(VLOOKUP(B59,Karyawan!$A:$L,5,FALSE),"")</x:f>
      </x:c>
      <x:c r="J59" s="41" t="n">
        <x:f>24</x:f>
        <x:v>24</x:v>
      </x:c>
      <x:c r="K59" s="41" t="n">
        <x:f>24</x:f>
        <x:v>24</x:v>
      </x:c>
      <x:c r="L59" s="41" t="n">
        <x:f>0</x:f>
        <x:v>0</x:v>
      </x:c>
      <x:c r="M59" s="41" t="n">
        <x:f>0</x:f>
        <x:v>0</x:v>
      </x:c>
      <x:c r="N59" s="41" t="n">
        <x:f>0</x:f>
        <x:v>0</x:v>
      </x:c>
      <x:c r="O59" s="41" t="n">
        <x:f>0</x:f>
        <x:v>0</x:v>
      </x:c>
      <x:c r="P59" s="48" t="n">
        <x:f>IFERROR(VLOOKUP(G59,Golongan!$B:$E,2,FALSE),0)</x:f>
        <x:v>0</x:v>
      </x:c>
      <x:c r="Q59" s="48" t="n">
        <x:f>IFERROR(VLOOKUP(I59,Jabatan!$B:$E,3,FALSE),0)</x:f>
        <x:v>0</x:v>
      </x:c>
      <x:c r="R59" s="48" t="n">
        <x:f>IF(J59&gt;0,IF(K59&gt;=J59,IFERROR(VLOOKUP(G59,Golongan!$B:$E,4,FALSE),0),K59*IFERROR(VLOOKUP(G59,Golongan!$B:$E,3,FALSE),0)),0)</x:f>
        <x:v>0</x:v>
      </x:c>
      <x:c r="S59" s="48" t="n">
        <x:f>IFERROR(VLOOKUP(I59,Jabatan!$B:$E,4,FALSE),0)</x:f>
        <x:v>0</x:v>
      </x:c>
      <x:c r="T59" s="48" t="n">
        <x:f>F59*IFERROR(VLOOKUP("Tunjangan Masa Kerja / Tahun",Komponen!$A:$E,5,FALSE),0)</x:f>
        <x:v>0</x:v>
      </x:c>
      <x:c r="U59" s="48" t="n">
        <x:f>SUMIF(Lembur!$L$2:$L$501,A59&amp;"|"&amp;B59,Lembur!$I$2:$I$501)</x:f>
        <x:v>0</x:v>
      </x:c>
      <x:c r="V59" s="48" t="n">
        <x:f>K59*IFERROR(VLOOKUP("Uang Makan / Hari",Komponen!$A:$E,5,FALSE),0)</x:f>
        <x:v>0</x:v>
      </x:c>
      <x:c r="W59" s="48" t="n">
        <x:f>0</x:f>
        <x:v>0</x:v>
      </x:c>
      <x:c r="X59" s="48" t="n">
        <x:f>SUM(P59:W59)</x:f>
        <x:v>0</x:v>
      </x:c>
      <x:c r="Y59" s="48" t="n">
        <x:f>O59*IFERROR(VLOOKUP("Potongan Alpha",Komponen!$A:$E,5,FALSE),0)</x:f>
        <x:v>0</x:v>
      </x:c>
      <x:c r="Z59" s="48" t="n">
        <x:f>L59*IFERROR(VLOOKUP("Potongan Telat",Komponen!$A:$E,5,FALSE),0)</x:f>
        <x:v>0</x:v>
      </x:c>
      <x:c r="AA59" s="48" t="n">
        <x:f>0</x:f>
        <x:v>0</x:v>
      </x:c>
      <x:c r="AB59" s="48" t="n">
        <x:f>SUM(Y59:AA59)</x:f>
        <x:v>0</x:v>
      </x:c>
      <x:c r="AC59" s="48" t="n">
        <x:f>0</x:f>
        <x:v>0</x:v>
      </x:c>
      <x:c r="AD59" s="48" t="n">
        <x:f>X59-AB59+AC59</x:f>
        <x:v>0</x:v>
      </x:c>
      <x:c r="AE59" s="41" t="str">
        <x:f>IFERROR(VLOOKUP(B59,Karyawan!$A:$L,10,FALSE),"")</x:f>
      </x:c>
      <x:c r="AF59" s="41" t="str">
        <x:f>IF(AD59&lt;=0,"Cek gaji bersih",IF(P59&lt;=0,"Cek gaji pokok",IF(H59="","Cek jabatan",IF(G59="","Cek golongan","OK"))))</x:f>
        <x:v>Cek gaji bersih</x:v>
      </x:c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 t="n">
        <x:f>B60</x:f>
        <x:v>0</x:v>
      </x:c>
      <x:c r="D60" s="41" t="str">
        <x:f>IFERROR(VLOOKUP(B60,Karyawan!$A:$L,2,FALSE),"")</x:f>
      </x:c>
      <x:c r="E60" s="41" t="str">
        <x:f>IFERROR(VLOOKUP(B60,Karyawan!$A:$L,3,FALSE),"")</x:f>
      </x:c>
      <x:c r="F60" s="41" t="n">
        <x:f>IFERROR(VLOOKUP(B60,Karyawan!$A:$L,8,FALSE),0)</x:f>
        <x:v>0</x:v>
      </x:c>
      <x:c r="G60" s="41" t="str">
        <x:f>IFERROR(VLOOKUP(B60,Karyawan!$A:$L,6,FALSE),"")</x:f>
      </x:c>
      <x:c r="H60" s="41" t="str">
        <x:f>IFERROR(VLOOKUP(B60,Karyawan!$A:$L,4,FALSE),"")</x:f>
      </x:c>
      <x:c r="I60" s="41" t="str">
        <x:f>IFERROR(VLOOKUP(B60,Karyawan!$A:$L,5,FALSE),"")</x:f>
      </x:c>
      <x:c r="J60" s="41" t="n">
        <x:f>24</x:f>
        <x:v>24</x:v>
      </x:c>
      <x:c r="K60" s="41" t="n">
        <x:f>24</x:f>
        <x:v>24</x:v>
      </x:c>
      <x:c r="L60" s="41" t="n">
        <x:f>0</x:f>
        <x:v>0</x:v>
      </x:c>
      <x:c r="M60" s="41" t="n">
        <x:f>0</x:f>
        <x:v>0</x:v>
      </x:c>
      <x:c r="N60" s="41" t="n">
        <x:f>0</x:f>
        <x:v>0</x:v>
      </x:c>
      <x:c r="O60" s="41" t="n">
        <x:f>0</x:f>
        <x:v>0</x:v>
      </x:c>
      <x:c r="P60" s="48" t="n">
        <x:f>IFERROR(VLOOKUP(G60,Golongan!$B:$E,2,FALSE),0)</x:f>
        <x:v>0</x:v>
      </x:c>
      <x:c r="Q60" s="48" t="n">
        <x:f>IFERROR(VLOOKUP(I60,Jabatan!$B:$E,3,FALSE),0)</x:f>
        <x:v>0</x:v>
      </x:c>
      <x:c r="R60" s="48" t="n">
        <x:f>IF(J60&gt;0,IF(K60&gt;=J60,IFERROR(VLOOKUP(G60,Golongan!$B:$E,4,FALSE),0),K60*IFERROR(VLOOKUP(G60,Golongan!$B:$E,3,FALSE),0)),0)</x:f>
        <x:v>0</x:v>
      </x:c>
      <x:c r="S60" s="48" t="n">
        <x:f>IFERROR(VLOOKUP(I60,Jabatan!$B:$E,4,FALSE),0)</x:f>
        <x:v>0</x:v>
      </x:c>
      <x:c r="T60" s="48" t="n">
        <x:f>F60*IFERROR(VLOOKUP("Tunjangan Masa Kerja / Tahun",Komponen!$A:$E,5,FALSE),0)</x:f>
        <x:v>0</x:v>
      </x:c>
      <x:c r="U60" s="48" t="n">
        <x:f>SUMIF(Lembur!$L$2:$L$501,A60&amp;"|"&amp;B60,Lembur!$I$2:$I$501)</x:f>
        <x:v>0</x:v>
      </x:c>
      <x:c r="V60" s="48" t="n">
        <x:f>K60*IFERROR(VLOOKUP("Uang Makan / Hari",Komponen!$A:$E,5,FALSE),0)</x:f>
        <x:v>0</x:v>
      </x:c>
      <x:c r="W60" s="48" t="n">
        <x:f>0</x:f>
        <x:v>0</x:v>
      </x:c>
      <x:c r="X60" s="48" t="n">
        <x:f>SUM(P60:W60)</x:f>
        <x:v>0</x:v>
      </x:c>
      <x:c r="Y60" s="48" t="n">
        <x:f>O60*IFERROR(VLOOKUP("Potongan Alpha",Komponen!$A:$E,5,FALSE),0)</x:f>
        <x:v>0</x:v>
      </x:c>
      <x:c r="Z60" s="48" t="n">
        <x:f>L60*IFERROR(VLOOKUP("Potongan Telat",Komponen!$A:$E,5,FALSE),0)</x:f>
        <x:v>0</x:v>
      </x:c>
      <x:c r="AA60" s="48" t="n">
        <x:f>0</x:f>
        <x:v>0</x:v>
      </x:c>
      <x:c r="AB60" s="48" t="n">
        <x:f>SUM(Y60:AA60)</x:f>
        <x:v>0</x:v>
      </x:c>
      <x:c r="AC60" s="48" t="n">
        <x:f>0</x:f>
        <x:v>0</x:v>
      </x:c>
      <x:c r="AD60" s="48" t="n">
        <x:f>X60-AB60+AC60</x:f>
        <x:v>0</x:v>
      </x:c>
      <x:c r="AE60" s="41" t="str">
        <x:f>IFERROR(VLOOKUP(B60,Karyawan!$A:$L,10,FALSE),"")</x:f>
      </x:c>
      <x:c r="AF60" s="41" t="str">
        <x:f>IF(AD60&lt;=0,"Cek gaji bersih",IF(P60&lt;=0,"Cek gaji pokok",IF(H60="","Cek jabatan",IF(G60="","Cek golongan","OK"))))</x:f>
        <x:v>Cek gaji bersih</x:v>
      </x:c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 t="n">
        <x:f>B61</x:f>
        <x:v>0</x:v>
      </x:c>
      <x:c r="D61" s="41" t="str">
        <x:f>IFERROR(VLOOKUP(B61,Karyawan!$A:$L,2,FALSE),"")</x:f>
      </x:c>
      <x:c r="E61" s="41" t="str">
        <x:f>IFERROR(VLOOKUP(B61,Karyawan!$A:$L,3,FALSE),"")</x:f>
      </x:c>
      <x:c r="F61" s="41" t="n">
        <x:f>IFERROR(VLOOKUP(B61,Karyawan!$A:$L,8,FALSE),0)</x:f>
        <x:v>0</x:v>
      </x:c>
      <x:c r="G61" s="41" t="str">
        <x:f>IFERROR(VLOOKUP(B61,Karyawan!$A:$L,6,FALSE),"")</x:f>
      </x:c>
      <x:c r="H61" s="41" t="str">
        <x:f>IFERROR(VLOOKUP(B61,Karyawan!$A:$L,4,FALSE),"")</x:f>
      </x:c>
      <x:c r="I61" s="41" t="str">
        <x:f>IFERROR(VLOOKUP(B61,Karyawan!$A:$L,5,FALSE),"")</x:f>
      </x:c>
      <x:c r="J61" s="41" t="n">
        <x:f>24</x:f>
        <x:v>24</x:v>
      </x:c>
      <x:c r="K61" s="41" t="n">
        <x:f>24</x:f>
        <x:v>24</x:v>
      </x:c>
      <x:c r="L61" s="41" t="n">
        <x:f>0</x:f>
        <x:v>0</x:v>
      </x:c>
      <x:c r="M61" s="41" t="n">
        <x:f>0</x:f>
        <x:v>0</x:v>
      </x:c>
      <x:c r="N61" s="41" t="n">
        <x:f>0</x:f>
        <x:v>0</x:v>
      </x:c>
      <x:c r="O61" s="41" t="n">
        <x:f>0</x:f>
        <x:v>0</x:v>
      </x:c>
      <x:c r="P61" s="48" t="n">
        <x:f>IFERROR(VLOOKUP(G61,Golongan!$B:$E,2,FALSE),0)</x:f>
        <x:v>0</x:v>
      </x:c>
      <x:c r="Q61" s="48" t="n">
        <x:f>IFERROR(VLOOKUP(I61,Jabatan!$B:$E,3,FALSE),0)</x:f>
        <x:v>0</x:v>
      </x:c>
      <x:c r="R61" s="48" t="n">
        <x:f>IF(J61&gt;0,IF(K61&gt;=J61,IFERROR(VLOOKUP(G61,Golongan!$B:$E,4,FALSE),0),K61*IFERROR(VLOOKUP(G61,Golongan!$B:$E,3,FALSE),0)),0)</x:f>
        <x:v>0</x:v>
      </x:c>
      <x:c r="S61" s="48" t="n">
        <x:f>IFERROR(VLOOKUP(I61,Jabatan!$B:$E,4,FALSE),0)</x:f>
        <x:v>0</x:v>
      </x:c>
      <x:c r="T61" s="48" t="n">
        <x:f>F61*IFERROR(VLOOKUP("Tunjangan Masa Kerja / Tahun",Komponen!$A:$E,5,FALSE),0)</x:f>
        <x:v>0</x:v>
      </x:c>
      <x:c r="U61" s="48" t="n">
        <x:f>SUMIF(Lembur!$L$2:$L$501,A61&amp;"|"&amp;B61,Lembur!$I$2:$I$501)</x:f>
        <x:v>0</x:v>
      </x:c>
      <x:c r="V61" s="48" t="n">
        <x:f>K61*IFERROR(VLOOKUP("Uang Makan / Hari",Komponen!$A:$E,5,FALSE),0)</x:f>
        <x:v>0</x:v>
      </x:c>
      <x:c r="W61" s="48" t="n">
        <x:f>0</x:f>
        <x:v>0</x:v>
      </x:c>
      <x:c r="X61" s="48" t="n">
        <x:f>SUM(P61:W61)</x:f>
        <x:v>0</x:v>
      </x:c>
      <x:c r="Y61" s="48" t="n">
        <x:f>O61*IFERROR(VLOOKUP("Potongan Alpha",Komponen!$A:$E,5,FALSE),0)</x:f>
        <x:v>0</x:v>
      </x:c>
      <x:c r="Z61" s="48" t="n">
        <x:f>L61*IFERROR(VLOOKUP("Potongan Telat",Komponen!$A:$E,5,FALSE),0)</x:f>
        <x:v>0</x:v>
      </x:c>
      <x:c r="AA61" s="48" t="n">
        <x:f>0</x:f>
        <x:v>0</x:v>
      </x:c>
      <x:c r="AB61" s="48" t="n">
        <x:f>SUM(Y61:AA61)</x:f>
        <x:v>0</x:v>
      </x:c>
      <x:c r="AC61" s="48" t="n">
        <x:f>0</x:f>
        <x:v>0</x:v>
      </x:c>
      <x:c r="AD61" s="48" t="n">
        <x:f>X61-AB61+AC61</x:f>
        <x:v>0</x:v>
      </x:c>
      <x:c r="AE61" s="41" t="str">
        <x:f>IFERROR(VLOOKUP(B61,Karyawan!$A:$L,10,FALSE),"")</x:f>
      </x:c>
      <x:c r="AF61" s="41" t="str">
        <x:f>IF(AD61&lt;=0,"Cek gaji bersih",IF(P61&lt;=0,"Cek gaji pokok",IF(H61="","Cek jabatan",IF(G61="","Cek golongan","OK"))))</x:f>
        <x:v>Cek gaji bersih</x:v>
      </x:c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 t="n">
        <x:f>B62</x:f>
        <x:v>0</x:v>
      </x:c>
      <x:c r="D62" s="41" t="str">
        <x:f>IFERROR(VLOOKUP(B62,Karyawan!$A:$L,2,FALSE),"")</x:f>
      </x:c>
      <x:c r="E62" s="41" t="str">
        <x:f>IFERROR(VLOOKUP(B62,Karyawan!$A:$L,3,FALSE),"")</x:f>
      </x:c>
      <x:c r="F62" s="41" t="n">
        <x:f>IFERROR(VLOOKUP(B62,Karyawan!$A:$L,8,FALSE),0)</x:f>
        <x:v>0</x:v>
      </x:c>
      <x:c r="G62" s="41" t="str">
        <x:f>IFERROR(VLOOKUP(B62,Karyawan!$A:$L,6,FALSE),"")</x:f>
      </x:c>
      <x:c r="H62" s="41" t="str">
        <x:f>IFERROR(VLOOKUP(B62,Karyawan!$A:$L,4,FALSE),"")</x:f>
      </x:c>
      <x:c r="I62" s="41" t="str">
        <x:f>IFERROR(VLOOKUP(B62,Karyawan!$A:$L,5,FALSE),"")</x:f>
      </x:c>
      <x:c r="J62" s="41" t="n">
        <x:f>24</x:f>
        <x:v>24</x:v>
      </x:c>
      <x:c r="K62" s="41" t="n">
        <x:f>24</x:f>
        <x:v>24</x:v>
      </x:c>
      <x:c r="L62" s="41" t="n">
        <x:f>0</x:f>
        <x:v>0</x:v>
      </x:c>
      <x:c r="M62" s="41" t="n">
        <x:f>0</x:f>
        <x:v>0</x:v>
      </x:c>
      <x:c r="N62" s="41" t="n">
        <x:f>0</x:f>
        <x:v>0</x:v>
      </x:c>
      <x:c r="O62" s="41" t="n">
        <x:f>0</x:f>
        <x:v>0</x:v>
      </x:c>
      <x:c r="P62" s="48" t="n">
        <x:f>IFERROR(VLOOKUP(G62,Golongan!$B:$E,2,FALSE),0)</x:f>
        <x:v>0</x:v>
      </x:c>
      <x:c r="Q62" s="48" t="n">
        <x:f>IFERROR(VLOOKUP(I62,Jabatan!$B:$E,3,FALSE),0)</x:f>
        <x:v>0</x:v>
      </x:c>
      <x:c r="R62" s="48" t="n">
        <x:f>IF(J62&gt;0,IF(K62&gt;=J62,IFERROR(VLOOKUP(G62,Golongan!$B:$E,4,FALSE),0),K62*IFERROR(VLOOKUP(G62,Golongan!$B:$E,3,FALSE),0)),0)</x:f>
        <x:v>0</x:v>
      </x:c>
      <x:c r="S62" s="48" t="n">
        <x:f>IFERROR(VLOOKUP(I62,Jabatan!$B:$E,4,FALSE),0)</x:f>
        <x:v>0</x:v>
      </x:c>
      <x:c r="T62" s="48" t="n">
        <x:f>F62*IFERROR(VLOOKUP("Tunjangan Masa Kerja / Tahun",Komponen!$A:$E,5,FALSE),0)</x:f>
        <x:v>0</x:v>
      </x:c>
      <x:c r="U62" s="48" t="n">
        <x:f>SUMIF(Lembur!$L$2:$L$501,A62&amp;"|"&amp;B62,Lembur!$I$2:$I$501)</x:f>
        <x:v>0</x:v>
      </x:c>
      <x:c r="V62" s="48" t="n">
        <x:f>K62*IFERROR(VLOOKUP("Uang Makan / Hari",Komponen!$A:$E,5,FALSE),0)</x:f>
        <x:v>0</x:v>
      </x:c>
      <x:c r="W62" s="48" t="n">
        <x:f>0</x:f>
        <x:v>0</x:v>
      </x:c>
      <x:c r="X62" s="48" t="n">
        <x:f>SUM(P62:W62)</x:f>
        <x:v>0</x:v>
      </x:c>
      <x:c r="Y62" s="48" t="n">
        <x:f>O62*IFERROR(VLOOKUP("Potongan Alpha",Komponen!$A:$E,5,FALSE),0)</x:f>
        <x:v>0</x:v>
      </x:c>
      <x:c r="Z62" s="48" t="n">
        <x:f>L62*IFERROR(VLOOKUP("Potongan Telat",Komponen!$A:$E,5,FALSE),0)</x:f>
        <x:v>0</x:v>
      </x:c>
      <x:c r="AA62" s="48" t="n">
        <x:f>0</x:f>
        <x:v>0</x:v>
      </x:c>
      <x:c r="AB62" s="48" t="n">
        <x:f>SUM(Y62:AA62)</x:f>
        <x:v>0</x:v>
      </x:c>
      <x:c r="AC62" s="48" t="n">
        <x:f>0</x:f>
        <x:v>0</x:v>
      </x:c>
      <x:c r="AD62" s="48" t="n">
        <x:f>X62-AB62+AC62</x:f>
        <x:v>0</x:v>
      </x:c>
      <x:c r="AE62" s="41" t="str">
        <x:f>IFERROR(VLOOKUP(B62,Karyawan!$A:$L,10,FALSE),"")</x:f>
      </x:c>
      <x:c r="AF62" s="41" t="str">
        <x:f>IF(AD62&lt;=0,"Cek gaji bersih",IF(P62&lt;=0,"Cek gaji pokok",IF(H62="","Cek jabatan",IF(G62="","Cek golongan","OK"))))</x:f>
        <x:v>Cek gaji bersih</x:v>
      </x:c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 t="n">
        <x:f>B63</x:f>
        <x:v>0</x:v>
      </x:c>
      <x:c r="D63" s="41" t="str">
        <x:f>IFERROR(VLOOKUP(B63,Karyawan!$A:$L,2,FALSE),"")</x:f>
      </x:c>
      <x:c r="E63" s="41" t="str">
        <x:f>IFERROR(VLOOKUP(B63,Karyawan!$A:$L,3,FALSE),"")</x:f>
      </x:c>
      <x:c r="F63" s="41" t="n">
        <x:f>IFERROR(VLOOKUP(B63,Karyawan!$A:$L,8,FALSE),0)</x:f>
        <x:v>0</x:v>
      </x:c>
      <x:c r="G63" s="41" t="str">
        <x:f>IFERROR(VLOOKUP(B63,Karyawan!$A:$L,6,FALSE),"")</x:f>
      </x:c>
      <x:c r="H63" s="41" t="str">
        <x:f>IFERROR(VLOOKUP(B63,Karyawan!$A:$L,4,FALSE),"")</x:f>
      </x:c>
      <x:c r="I63" s="41" t="str">
        <x:f>IFERROR(VLOOKUP(B63,Karyawan!$A:$L,5,FALSE),"")</x:f>
      </x:c>
      <x:c r="J63" s="41" t="n">
        <x:f>24</x:f>
        <x:v>24</x:v>
      </x:c>
      <x:c r="K63" s="41" t="n">
        <x:f>24</x:f>
        <x:v>24</x:v>
      </x:c>
      <x:c r="L63" s="41" t="n">
        <x:f>0</x:f>
        <x:v>0</x:v>
      </x:c>
      <x:c r="M63" s="41" t="n">
        <x:f>0</x:f>
        <x:v>0</x:v>
      </x:c>
      <x:c r="N63" s="41" t="n">
        <x:f>0</x:f>
        <x:v>0</x:v>
      </x:c>
      <x:c r="O63" s="41" t="n">
        <x:f>0</x:f>
        <x:v>0</x:v>
      </x:c>
      <x:c r="P63" s="48" t="n">
        <x:f>IFERROR(VLOOKUP(G63,Golongan!$B:$E,2,FALSE),0)</x:f>
        <x:v>0</x:v>
      </x:c>
      <x:c r="Q63" s="48" t="n">
        <x:f>IFERROR(VLOOKUP(I63,Jabatan!$B:$E,3,FALSE),0)</x:f>
        <x:v>0</x:v>
      </x:c>
      <x:c r="R63" s="48" t="n">
        <x:f>IF(J63&gt;0,IF(K63&gt;=J63,IFERROR(VLOOKUP(G63,Golongan!$B:$E,4,FALSE),0),K63*IFERROR(VLOOKUP(G63,Golongan!$B:$E,3,FALSE),0)),0)</x:f>
        <x:v>0</x:v>
      </x:c>
      <x:c r="S63" s="48" t="n">
        <x:f>IFERROR(VLOOKUP(I63,Jabatan!$B:$E,4,FALSE),0)</x:f>
        <x:v>0</x:v>
      </x:c>
      <x:c r="T63" s="48" t="n">
        <x:f>F63*IFERROR(VLOOKUP("Tunjangan Masa Kerja / Tahun",Komponen!$A:$E,5,FALSE),0)</x:f>
        <x:v>0</x:v>
      </x:c>
      <x:c r="U63" s="48" t="n">
        <x:f>SUMIF(Lembur!$L$2:$L$501,A63&amp;"|"&amp;B63,Lembur!$I$2:$I$501)</x:f>
        <x:v>0</x:v>
      </x:c>
      <x:c r="V63" s="48" t="n">
        <x:f>K63*IFERROR(VLOOKUP("Uang Makan / Hari",Komponen!$A:$E,5,FALSE),0)</x:f>
        <x:v>0</x:v>
      </x:c>
      <x:c r="W63" s="48" t="n">
        <x:f>0</x:f>
        <x:v>0</x:v>
      </x:c>
      <x:c r="X63" s="48" t="n">
        <x:f>SUM(P63:W63)</x:f>
        <x:v>0</x:v>
      </x:c>
      <x:c r="Y63" s="48" t="n">
        <x:f>O63*IFERROR(VLOOKUP("Potongan Alpha",Komponen!$A:$E,5,FALSE),0)</x:f>
        <x:v>0</x:v>
      </x:c>
      <x:c r="Z63" s="48" t="n">
        <x:f>L63*IFERROR(VLOOKUP("Potongan Telat",Komponen!$A:$E,5,FALSE),0)</x:f>
        <x:v>0</x:v>
      </x:c>
      <x:c r="AA63" s="48" t="n">
        <x:f>0</x:f>
        <x:v>0</x:v>
      </x:c>
      <x:c r="AB63" s="48" t="n">
        <x:f>SUM(Y63:AA63)</x:f>
        <x:v>0</x:v>
      </x:c>
      <x:c r="AC63" s="48" t="n">
        <x:f>0</x:f>
        <x:v>0</x:v>
      </x:c>
      <x:c r="AD63" s="48" t="n">
        <x:f>X63-AB63+AC63</x:f>
        <x:v>0</x:v>
      </x:c>
      <x:c r="AE63" s="41" t="str">
        <x:f>IFERROR(VLOOKUP(B63,Karyawan!$A:$L,10,FALSE),"")</x:f>
      </x:c>
      <x:c r="AF63" s="41" t="str">
        <x:f>IF(AD63&lt;=0,"Cek gaji bersih",IF(P63&lt;=0,"Cek gaji pokok",IF(H63="","Cek jabatan",IF(G63="","Cek golongan","OK"))))</x:f>
        <x:v>Cek gaji bersih</x:v>
      </x:c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 t="n">
        <x:f>B64</x:f>
        <x:v>0</x:v>
      </x:c>
      <x:c r="D64" s="41" t="str">
        <x:f>IFERROR(VLOOKUP(B64,Karyawan!$A:$L,2,FALSE),"")</x:f>
      </x:c>
      <x:c r="E64" s="41" t="str">
        <x:f>IFERROR(VLOOKUP(B64,Karyawan!$A:$L,3,FALSE),"")</x:f>
      </x:c>
      <x:c r="F64" s="41" t="n">
        <x:f>IFERROR(VLOOKUP(B64,Karyawan!$A:$L,8,FALSE),0)</x:f>
        <x:v>0</x:v>
      </x:c>
      <x:c r="G64" s="41" t="str">
        <x:f>IFERROR(VLOOKUP(B64,Karyawan!$A:$L,6,FALSE),"")</x:f>
      </x:c>
      <x:c r="H64" s="41" t="str">
        <x:f>IFERROR(VLOOKUP(B64,Karyawan!$A:$L,4,FALSE),"")</x:f>
      </x:c>
      <x:c r="I64" s="41" t="str">
        <x:f>IFERROR(VLOOKUP(B64,Karyawan!$A:$L,5,FALSE),"")</x:f>
      </x:c>
      <x:c r="J64" s="41" t="n">
        <x:f>24</x:f>
        <x:v>24</x:v>
      </x:c>
      <x:c r="K64" s="41" t="n">
        <x:f>24</x:f>
        <x:v>24</x:v>
      </x:c>
      <x:c r="L64" s="41" t="n">
        <x:f>0</x:f>
        <x:v>0</x:v>
      </x:c>
      <x:c r="M64" s="41" t="n">
        <x:f>0</x:f>
        <x:v>0</x:v>
      </x:c>
      <x:c r="N64" s="41" t="n">
        <x:f>0</x:f>
        <x:v>0</x:v>
      </x:c>
      <x:c r="O64" s="41" t="n">
        <x:f>0</x:f>
        <x:v>0</x:v>
      </x:c>
      <x:c r="P64" s="48" t="n">
        <x:f>IFERROR(VLOOKUP(G64,Golongan!$B:$E,2,FALSE),0)</x:f>
        <x:v>0</x:v>
      </x:c>
      <x:c r="Q64" s="48" t="n">
        <x:f>IFERROR(VLOOKUP(I64,Jabatan!$B:$E,3,FALSE),0)</x:f>
        <x:v>0</x:v>
      </x:c>
      <x:c r="R64" s="48" t="n">
        <x:f>IF(J64&gt;0,IF(K64&gt;=J64,IFERROR(VLOOKUP(G64,Golongan!$B:$E,4,FALSE),0),K64*IFERROR(VLOOKUP(G64,Golongan!$B:$E,3,FALSE),0)),0)</x:f>
        <x:v>0</x:v>
      </x:c>
      <x:c r="S64" s="48" t="n">
        <x:f>IFERROR(VLOOKUP(I64,Jabatan!$B:$E,4,FALSE),0)</x:f>
        <x:v>0</x:v>
      </x:c>
      <x:c r="T64" s="48" t="n">
        <x:f>F64*IFERROR(VLOOKUP("Tunjangan Masa Kerja / Tahun",Komponen!$A:$E,5,FALSE),0)</x:f>
        <x:v>0</x:v>
      </x:c>
      <x:c r="U64" s="48" t="n">
        <x:f>SUMIF(Lembur!$L$2:$L$501,A64&amp;"|"&amp;B64,Lembur!$I$2:$I$501)</x:f>
        <x:v>0</x:v>
      </x:c>
      <x:c r="V64" s="48" t="n">
        <x:f>K64*IFERROR(VLOOKUP("Uang Makan / Hari",Komponen!$A:$E,5,FALSE),0)</x:f>
        <x:v>0</x:v>
      </x:c>
      <x:c r="W64" s="48" t="n">
        <x:f>0</x:f>
        <x:v>0</x:v>
      </x:c>
      <x:c r="X64" s="48" t="n">
        <x:f>SUM(P64:W64)</x:f>
        <x:v>0</x:v>
      </x:c>
      <x:c r="Y64" s="48" t="n">
        <x:f>O64*IFERROR(VLOOKUP("Potongan Alpha",Komponen!$A:$E,5,FALSE),0)</x:f>
        <x:v>0</x:v>
      </x:c>
      <x:c r="Z64" s="48" t="n">
        <x:f>L64*IFERROR(VLOOKUP("Potongan Telat",Komponen!$A:$E,5,FALSE),0)</x:f>
        <x:v>0</x:v>
      </x:c>
      <x:c r="AA64" s="48" t="n">
        <x:f>0</x:f>
        <x:v>0</x:v>
      </x:c>
      <x:c r="AB64" s="48" t="n">
        <x:f>SUM(Y64:AA64)</x:f>
        <x:v>0</x:v>
      </x:c>
      <x:c r="AC64" s="48" t="n">
        <x:f>0</x:f>
        <x:v>0</x:v>
      </x:c>
      <x:c r="AD64" s="48" t="n">
        <x:f>X64-AB64+AC64</x:f>
        <x:v>0</x:v>
      </x:c>
      <x:c r="AE64" s="41" t="str">
        <x:f>IFERROR(VLOOKUP(B64,Karyawan!$A:$L,10,FALSE),"")</x:f>
      </x:c>
      <x:c r="AF64" s="41" t="str">
        <x:f>IF(AD64&lt;=0,"Cek gaji bersih",IF(P64&lt;=0,"Cek gaji pokok",IF(H64="","Cek jabatan",IF(G64="","Cek golongan","OK"))))</x:f>
        <x:v>Cek gaji bersih</x:v>
      </x:c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 t="n">
        <x:f>B65</x:f>
        <x:v>0</x:v>
      </x:c>
      <x:c r="D65" s="41" t="str">
        <x:f>IFERROR(VLOOKUP(B65,Karyawan!$A:$L,2,FALSE),"")</x:f>
      </x:c>
      <x:c r="E65" s="41" t="str">
        <x:f>IFERROR(VLOOKUP(B65,Karyawan!$A:$L,3,FALSE),"")</x:f>
      </x:c>
      <x:c r="F65" s="41" t="n">
        <x:f>IFERROR(VLOOKUP(B65,Karyawan!$A:$L,8,FALSE),0)</x:f>
        <x:v>0</x:v>
      </x:c>
      <x:c r="G65" s="41" t="str">
        <x:f>IFERROR(VLOOKUP(B65,Karyawan!$A:$L,6,FALSE),"")</x:f>
      </x:c>
      <x:c r="H65" s="41" t="str">
        <x:f>IFERROR(VLOOKUP(B65,Karyawan!$A:$L,4,FALSE),"")</x:f>
      </x:c>
      <x:c r="I65" s="41" t="str">
        <x:f>IFERROR(VLOOKUP(B65,Karyawan!$A:$L,5,FALSE),"")</x:f>
      </x:c>
      <x:c r="J65" s="41" t="n">
        <x:f>24</x:f>
        <x:v>24</x:v>
      </x:c>
      <x:c r="K65" s="41" t="n">
        <x:f>24</x:f>
        <x:v>24</x:v>
      </x:c>
      <x:c r="L65" s="41" t="n">
        <x:f>0</x:f>
        <x:v>0</x:v>
      </x:c>
      <x:c r="M65" s="41" t="n">
        <x:f>0</x:f>
        <x:v>0</x:v>
      </x:c>
      <x:c r="N65" s="41" t="n">
        <x:f>0</x:f>
        <x:v>0</x:v>
      </x:c>
      <x:c r="O65" s="41" t="n">
        <x:f>0</x:f>
        <x:v>0</x:v>
      </x:c>
      <x:c r="P65" s="48" t="n">
        <x:f>IFERROR(VLOOKUP(G65,Golongan!$B:$E,2,FALSE),0)</x:f>
        <x:v>0</x:v>
      </x:c>
      <x:c r="Q65" s="48" t="n">
        <x:f>IFERROR(VLOOKUP(I65,Jabatan!$B:$E,3,FALSE),0)</x:f>
        <x:v>0</x:v>
      </x:c>
      <x:c r="R65" s="48" t="n">
        <x:f>IF(J65&gt;0,IF(K65&gt;=J65,IFERROR(VLOOKUP(G65,Golongan!$B:$E,4,FALSE),0),K65*IFERROR(VLOOKUP(G65,Golongan!$B:$E,3,FALSE),0)),0)</x:f>
        <x:v>0</x:v>
      </x:c>
      <x:c r="S65" s="48" t="n">
        <x:f>IFERROR(VLOOKUP(I65,Jabatan!$B:$E,4,FALSE),0)</x:f>
        <x:v>0</x:v>
      </x:c>
      <x:c r="T65" s="48" t="n">
        <x:f>F65*IFERROR(VLOOKUP("Tunjangan Masa Kerja / Tahun",Komponen!$A:$E,5,FALSE),0)</x:f>
        <x:v>0</x:v>
      </x:c>
      <x:c r="U65" s="48" t="n">
        <x:f>SUMIF(Lembur!$L$2:$L$501,A65&amp;"|"&amp;B65,Lembur!$I$2:$I$501)</x:f>
        <x:v>0</x:v>
      </x:c>
      <x:c r="V65" s="48" t="n">
        <x:f>K65*IFERROR(VLOOKUP("Uang Makan / Hari",Komponen!$A:$E,5,FALSE),0)</x:f>
        <x:v>0</x:v>
      </x:c>
      <x:c r="W65" s="48" t="n">
        <x:f>0</x:f>
        <x:v>0</x:v>
      </x:c>
      <x:c r="X65" s="48" t="n">
        <x:f>SUM(P65:W65)</x:f>
        <x:v>0</x:v>
      </x:c>
      <x:c r="Y65" s="48" t="n">
        <x:f>O65*IFERROR(VLOOKUP("Potongan Alpha",Komponen!$A:$E,5,FALSE),0)</x:f>
        <x:v>0</x:v>
      </x:c>
      <x:c r="Z65" s="48" t="n">
        <x:f>L65*IFERROR(VLOOKUP("Potongan Telat",Komponen!$A:$E,5,FALSE),0)</x:f>
        <x:v>0</x:v>
      </x:c>
      <x:c r="AA65" s="48" t="n">
        <x:f>0</x:f>
        <x:v>0</x:v>
      </x:c>
      <x:c r="AB65" s="48" t="n">
        <x:f>SUM(Y65:AA65)</x:f>
        <x:v>0</x:v>
      </x:c>
      <x:c r="AC65" s="48" t="n">
        <x:f>0</x:f>
        <x:v>0</x:v>
      </x:c>
      <x:c r="AD65" s="48" t="n">
        <x:f>X65-AB65+AC65</x:f>
        <x:v>0</x:v>
      </x:c>
      <x:c r="AE65" s="41" t="str">
        <x:f>IFERROR(VLOOKUP(B65,Karyawan!$A:$L,10,FALSE),"")</x:f>
      </x:c>
      <x:c r="AF65" s="41" t="str">
        <x:f>IF(AD65&lt;=0,"Cek gaji bersih",IF(P65&lt;=0,"Cek gaji pokok",IF(H65="","Cek jabatan",IF(G65="","Cek golongan","OK"))))</x:f>
        <x:v>Cek gaji bersih</x:v>
      </x:c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 t="n">
        <x:f>B66</x:f>
        <x:v>0</x:v>
      </x:c>
      <x:c r="D66" s="41" t="str">
        <x:f>IFERROR(VLOOKUP(B66,Karyawan!$A:$L,2,FALSE),"")</x:f>
      </x:c>
      <x:c r="E66" s="41" t="str">
        <x:f>IFERROR(VLOOKUP(B66,Karyawan!$A:$L,3,FALSE),"")</x:f>
      </x:c>
      <x:c r="F66" s="41" t="n">
        <x:f>IFERROR(VLOOKUP(B66,Karyawan!$A:$L,8,FALSE),0)</x:f>
        <x:v>0</x:v>
      </x:c>
      <x:c r="G66" s="41" t="str">
        <x:f>IFERROR(VLOOKUP(B66,Karyawan!$A:$L,6,FALSE),"")</x:f>
      </x:c>
      <x:c r="H66" s="41" t="str">
        <x:f>IFERROR(VLOOKUP(B66,Karyawan!$A:$L,4,FALSE),"")</x:f>
      </x:c>
      <x:c r="I66" s="41" t="str">
        <x:f>IFERROR(VLOOKUP(B66,Karyawan!$A:$L,5,FALSE),"")</x:f>
      </x:c>
      <x:c r="J66" s="41" t="n">
        <x:f>24</x:f>
        <x:v>24</x:v>
      </x:c>
      <x:c r="K66" s="41" t="n">
        <x:f>24</x:f>
        <x:v>24</x:v>
      </x:c>
      <x:c r="L66" s="41" t="n">
        <x:f>0</x:f>
        <x:v>0</x:v>
      </x:c>
      <x:c r="M66" s="41" t="n">
        <x:f>0</x:f>
        <x:v>0</x:v>
      </x:c>
      <x:c r="N66" s="41" t="n">
        <x:f>0</x:f>
        <x:v>0</x:v>
      </x:c>
      <x:c r="O66" s="41" t="n">
        <x:f>0</x:f>
        <x:v>0</x:v>
      </x:c>
      <x:c r="P66" s="48" t="n">
        <x:f>IFERROR(VLOOKUP(G66,Golongan!$B:$E,2,FALSE),0)</x:f>
        <x:v>0</x:v>
      </x:c>
      <x:c r="Q66" s="48" t="n">
        <x:f>IFERROR(VLOOKUP(I66,Jabatan!$B:$E,3,FALSE),0)</x:f>
        <x:v>0</x:v>
      </x:c>
      <x:c r="R66" s="48" t="n">
        <x:f>IF(J66&gt;0,IF(K66&gt;=J66,IFERROR(VLOOKUP(G66,Golongan!$B:$E,4,FALSE),0),K66*IFERROR(VLOOKUP(G66,Golongan!$B:$E,3,FALSE),0)),0)</x:f>
        <x:v>0</x:v>
      </x:c>
      <x:c r="S66" s="48" t="n">
        <x:f>IFERROR(VLOOKUP(I66,Jabatan!$B:$E,4,FALSE),0)</x:f>
        <x:v>0</x:v>
      </x:c>
      <x:c r="T66" s="48" t="n">
        <x:f>F66*IFERROR(VLOOKUP("Tunjangan Masa Kerja / Tahun",Komponen!$A:$E,5,FALSE),0)</x:f>
        <x:v>0</x:v>
      </x:c>
      <x:c r="U66" s="48" t="n">
        <x:f>SUMIF(Lembur!$L$2:$L$501,A66&amp;"|"&amp;B66,Lembur!$I$2:$I$501)</x:f>
        <x:v>0</x:v>
      </x:c>
      <x:c r="V66" s="48" t="n">
        <x:f>K66*IFERROR(VLOOKUP("Uang Makan / Hari",Komponen!$A:$E,5,FALSE),0)</x:f>
        <x:v>0</x:v>
      </x:c>
      <x:c r="W66" s="48" t="n">
        <x:f>0</x:f>
        <x:v>0</x:v>
      </x:c>
      <x:c r="X66" s="48" t="n">
        <x:f>SUM(P66:W66)</x:f>
        <x:v>0</x:v>
      </x:c>
      <x:c r="Y66" s="48" t="n">
        <x:f>O66*IFERROR(VLOOKUP("Potongan Alpha",Komponen!$A:$E,5,FALSE),0)</x:f>
        <x:v>0</x:v>
      </x:c>
      <x:c r="Z66" s="48" t="n">
        <x:f>L66*IFERROR(VLOOKUP("Potongan Telat",Komponen!$A:$E,5,FALSE),0)</x:f>
        <x:v>0</x:v>
      </x:c>
      <x:c r="AA66" s="48" t="n">
        <x:f>0</x:f>
        <x:v>0</x:v>
      </x:c>
      <x:c r="AB66" s="48" t="n">
        <x:f>SUM(Y66:AA66)</x:f>
        <x:v>0</x:v>
      </x:c>
      <x:c r="AC66" s="48" t="n">
        <x:f>0</x:f>
        <x:v>0</x:v>
      </x:c>
      <x:c r="AD66" s="48" t="n">
        <x:f>X66-AB66+AC66</x:f>
        <x:v>0</x:v>
      </x:c>
      <x:c r="AE66" s="41" t="str">
        <x:f>IFERROR(VLOOKUP(B66,Karyawan!$A:$L,10,FALSE),"")</x:f>
      </x:c>
      <x:c r="AF66" s="41" t="str">
        <x:f>IF(AD66&lt;=0,"Cek gaji bersih",IF(P66&lt;=0,"Cek gaji pokok",IF(H66="","Cek jabatan",IF(G66="","Cek golongan","OK"))))</x:f>
        <x:v>Cek gaji bersih</x:v>
      </x:c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 t="n">
        <x:f>B67</x:f>
        <x:v>0</x:v>
      </x:c>
      <x:c r="D67" s="41" t="str">
        <x:f>IFERROR(VLOOKUP(B67,Karyawan!$A:$L,2,FALSE),"")</x:f>
      </x:c>
      <x:c r="E67" s="41" t="str">
        <x:f>IFERROR(VLOOKUP(B67,Karyawan!$A:$L,3,FALSE),"")</x:f>
      </x:c>
      <x:c r="F67" s="41" t="n">
        <x:f>IFERROR(VLOOKUP(B67,Karyawan!$A:$L,8,FALSE),0)</x:f>
        <x:v>0</x:v>
      </x:c>
      <x:c r="G67" s="41" t="str">
        <x:f>IFERROR(VLOOKUP(B67,Karyawan!$A:$L,6,FALSE),"")</x:f>
      </x:c>
      <x:c r="H67" s="41" t="str">
        <x:f>IFERROR(VLOOKUP(B67,Karyawan!$A:$L,4,FALSE),"")</x:f>
      </x:c>
      <x:c r="I67" s="41" t="str">
        <x:f>IFERROR(VLOOKUP(B67,Karyawan!$A:$L,5,FALSE),"")</x:f>
      </x:c>
      <x:c r="J67" s="41" t="n">
        <x:f>24</x:f>
        <x:v>24</x:v>
      </x:c>
      <x:c r="K67" s="41" t="n">
        <x:f>24</x:f>
        <x:v>24</x:v>
      </x:c>
      <x:c r="L67" s="41" t="n">
        <x:f>0</x:f>
        <x:v>0</x:v>
      </x:c>
      <x:c r="M67" s="41" t="n">
        <x:f>0</x:f>
        <x:v>0</x:v>
      </x:c>
      <x:c r="N67" s="41" t="n">
        <x:f>0</x:f>
        <x:v>0</x:v>
      </x:c>
      <x:c r="O67" s="41" t="n">
        <x:f>0</x:f>
        <x:v>0</x:v>
      </x:c>
      <x:c r="P67" s="48" t="n">
        <x:f>IFERROR(VLOOKUP(G67,Golongan!$B:$E,2,FALSE),0)</x:f>
        <x:v>0</x:v>
      </x:c>
      <x:c r="Q67" s="48" t="n">
        <x:f>IFERROR(VLOOKUP(I67,Jabatan!$B:$E,3,FALSE),0)</x:f>
        <x:v>0</x:v>
      </x:c>
      <x:c r="R67" s="48" t="n">
        <x:f>IF(J67&gt;0,IF(K67&gt;=J67,IFERROR(VLOOKUP(G67,Golongan!$B:$E,4,FALSE),0),K67*IFERROR(VLOOKUP(G67,Golongan!$B:$E,3,FALSE),0)),0)</x:f>
        <x:v>0</x:v>
      </x:c>
      <x:c r="S67" s="48" t="n">
        <x:f>IFERROR(VLOOKUP(I67,Jabatan!$B:$E,4,FALSE),0)</x:f>
        <x:v>0</x:v>
      </x:c>
      <x:c r="T67" s="48" t="n">
        <x:f>F67*IFERROR(VLOOKUP("Tunjangan Masa Kerja / Tahun",Komponen!$A:$E,5,FALSE),0)</x:f>
        <x:v>0</x:v>
      </x:c>
      <x:c r="U67" s="48" t="n">
        <x:f>SUMIF(Lembur!$L$2:$L$501,A67&amp;"|"&amp;B67,Lembur!$I$2:$I$501)</x:f>
        <x:v>0</x:v>
      </x:c>
      <x:c r="V67" s="48" t="n">
        <x:f>K67*IFERROR(VLOOKUP("Uang Makan / Hari",Komponen!$A:$E,5,FALSE),0)</x:f>
        <x:v>0</x:v>
      </x:c>
      <x:c r="W67" s="48" t="n">
        <x:f>0</x:f>
        <x:v>0</x:v>
      </x:c>
      <x:c r="X67" s="48" t="n">
        <x:f>SUM(P67:W67)</x:f>
        <x:v>0</x:v>
      </x:c>
      <x:c r="Y67" s="48" t="n">
        <x:f>O67*IFERROR(VLOOKUP("Potongan Alpha",Komponen!$A:$E,5,FALSE),0)</x:f>
        <x:v>0</x:v>
      </x:c>
      <x:c r="Z67" s="48" t="n">
        <x:f>L67*IFERROR(VLOOKUP("Potongan Telat",Komponen!$A:$E,5,FALSE),0)</x:f>
        <x:v>0</x:v>
      </x:c>
      <x:c r="AA67" s="48" t="n">
        <x:f>0</x:f>
        <x:v>0</x:v>
      </x:c>
      <x:c r="AB67" s="48" t="n">
        <x:f>SUM(Y67:AA67)</x:f>
        <x:v>0</x:v>
      </x:c>
      <x:c r="AC67" s="48" t="n">
        <x:f>0</x:f>
        <x:v>0</x:v>
      </x:c>
      <x:c r="AD67" s="48" t="n">
        <x:f>X67-AB67+AC67</x:f>
        <x:v>0</x:v>
      </x:c>
      <x:c r="AE67" s="41" t="str">
        <x:f>IFERROR(VLOOKUP(B67,Karyawan!$A:$L,10,FALSE),"")</x:f>
      </x:c>
      <x:c r="AF67" s="41" t="str">
        <x:f>IF(AD67&lt;=0,"Cek gaji bersih",IF(P67&lt;=0,"Cek gaji pokok",IF(H67="","Cek jabatan",IF(G67="","Cek golongan","OK"))))</x:f>
        <x:v>Cek gaji bersih</x:v>
      </x:c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 t="n">
        <x:f>B68</x:f>
        <x:v>0</x:v>
      </x:c>
      <x:c r="D68" s="41" t="str">
        <x:f>IFERROR(VLOOKUP(B68,Karyawan!$A:$L,2,FALSE),"")</x:f>
      </x:c>
      <x:c r="E68" s="41" t="str">
        <x:f>IFERROR(VLOOKUP(B68,Karyawan!$A:$L,3,FALSE),"")</x:f>
      </x:c>
      <x:c r="F68" s="41" t="n">
        <x:f>IFERROR(VLOOKUP(B68,Karyawan!$A:$L,8,FALSE),0)</x:f>
        <x:v>0</x:v>
      </x:c>
      <x:c r="G68" s="41" t="str">
        <x:f>IFERROR(VLOOKUP(B68,Karyawan!$A:$L,6,FALSE),"")</x:f>
      </x:c>
      <x:c r="H68" s="41" t="str">
        <x:f>IFERROR(VLOOKUP(B68,Karyawan!$A:$L,4,FALSE),"")</x:f>
      </x:c>
      <x:c r="I68" s="41" t="str">
        <x:f>IFERROR(VLOOKUP(B68,Karyawan!$A:$L,5,FALSE),"")</x:f>
      </x:c>
      <x:c r="J68" s="41" t="n">
        <x:f>24</x:f>
        <x:v>24</x:v>
      </x:c>
      <x:c r="K68" s="41" t="n">
        <x:f>24</x:f>
        <x:v>24</x:v>
      </x:c>
      <x:c r="L68" s="41" t="n">
        <x:f>0</x:f>
        <x:v>0</x:v>
      </x:c>
      <x:c r="M68" s="41" t="n">
        <x:f>0</x:f>
        <x:v>0</x:v>
      </x:c>
      <x:c r="N68" s="41" t="n">
        <x:f>0</x:f>
        <x:v>0</x:v>
      </x:c>
      <x:c r="O68" s="41" t="n">
        <x:f>0</x:f>
        <x:v>0</x:v>
      </x:c>
      <x:c r="P68" s="48" t="n">
        <x:f>IFERROR(VLOOKUP(G68,Golongan!$B:$E,2,FALSE),0)</x:f>
        <x:v>0</x:v>
      </x:c>
      <x:c r="Q68" s="48" t="n">
        <x:f>IFERROR(VLOOKUP(I68,Jabatan!$B:$E,3,FALSE),0)</x:f>
        <x:v>0</x:v>
      </x:c>
      <x:c r="R68" s="48" t="n">
        <x:f>IF(J68&gt;0,IF(K68&gt;=J68,IFERROR(VLOOKUP(G68,Golongan!$B:$E,4,FALSE),0),K68*IFERROR(VLOOKUP(G68,Golongan!$B:$E,3,FALSE),0)),0)</x:f>
        <x:v>0</x:v>
      </x:c>
      <x:c r="S68" s="48" t="n">
        <x:f>IFERROR(VLOOKUP(I68,Jabatan!$B:$E,4,FALSE),0)</x:f>
        <x:v>0</x:v>
      </x:c>
      <x:c r="T68" s="48" t="n">
        <x:f>F68*IFERROR(VLOOKUP("Tunjangan Masa Kerja / Tahun",Komponen!$A:$E,5,FALSE),0)</x:f>
        <x:v>0</x:v>
      </x:c>
      <x:c r="U68" s="48" t="n">
        <x:f>SUMIF(Lembur!$L$2:$L$501,A68&amp;"|"&amp;B68,Lembur!$I$2:$I$501)</x:f>
        <x:v>0</x:v>
      </x:c>
      <x:c r="V68" s="48" t="n">
        <x:f>K68*IFERROR(VLOOKUP("Uang Makan / Hari",Komponen!$A:$E,5,FALSE),0)</x:f>
        <x:v>0</x:v>
      </x:c>
      <x:c r="W68" s="48" t="n">
        <x:f>0</x:f>
        <x:v>0</x:v>
      </x:c>
      <x:c r="X68" s="48" t="n">
        <x:f>SUM(P68:W68)</x:f>
        <x:v>0</x:v>
      </x:c>
      <x:c r="Y68" s="48" t="n">
        <x:f>O68*IFERROR(VLOOKUP("Potongan Alpha",Komponen!$A:$E,5,FALSE),0)</x:f>
        <x:v>0</x:v>
      </x:c>
      <x:c r="Z68" s="48" t="n">
        <x:f>L68*IFERROR(VLOOKUP("Potongan Telat",Komponen!$A:$E,5,FALSE),0)</x:f>
        <x:v>0</x:v>
      </x:c>
      <x:c r="AA68" s="48" t="n">
        <x:f>0</x:f>
        <x:v>0</x:v>
      </x:c>
      <x:c r="AB68" s="48" t="n">
        <x:f>SUM(Y68:AA68)</x:f>
        <x:v>0</x:v>
      </x:c>
      <x:c r="AC68" s="48" t="n">
        <x:f>0</x:f>
        <x:v>0</x:v>
      </x:c>
      <x:c r="AD68" s="48" t="n">
        <x:f>X68-AB68+AC68</x:f>
        <x:v>0</x:v>
      </x:c>
      <x:c r="AE68" s="41" t="str">
        <x:f>IFERROR(VLOOKUP(B68,Karyawan!$A:$L,10,FALSE),"")</x:f>
      </x:c>
      <x:c r="AF68" s="41" t="str">
        <x:f>IF(AD68&lt;=0,"Cek gaji bersih",IF(P68&lt;=0,"Cek gaji pokok",IF(H68="","Cek jabatan",IF(G68="","Cek golongan","OK"))))</x:f>
        <x:v>Cek gaji bersih</x:v>
      </x:c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 t="n">
        <x:f>B69</x:f>
        <x:v>0</x:v>
      </x:c>
      <x:c r="D69" s="41" t="str">
        <x:f>IFERROR(VLOOKUP(B69,Karyawan!$A:$L,2,FALSE),"")</x:f>
      </x:c>
      <x:c r="E69" s="41" t="str">
        <x:f>IFERROR(VLOOKUP(B69,Karyawan!$A:$L,3,FALSE),"")</x:f>
      </x:c>
      <x:c r="F69" s="41" t="n">
        <x:f>IFERROR(VLOOKUP(B69,Karyawan!$A:$L,8,FALSE),0)</x:f>
        <x:v>0</x:v>
      </x:c>
      <x:c r="G69" s="41" t="str">
        <x:f>IFERROR(VLOOKUP(B69,Karyawan!$A:$L,6,FALSE),"")</x:f>
      </x:c>
      <x:c r="H69" s="41" t="str">
        <x:f>IFERROR(VLOOKUP(B69,Karyawan!$A:$L,4,FALSE),"")</x:f>
      </x:c>
      <x:c r="I69" s="41" t="str">
        <x:f>IFERROR(VLOOKUP(B69,Karyawan!$A:$L,5,FALSE),"")</x:f>
      </x:c>
      <x:c r="J69" s="41" t="n">
        <x:f>24</x:f>
        <x:v>24</x:v>
      </x:c>
      <x:c r="K69" s="41" t="n">
        <x:f>24</x:f>
        <x:v>24</x:v>
      </x:c>
      <x:c r="L69" s="41" t="n">
        <x:f>0</x:f>
        <x:v>0</x:v>
      </x:c>
      <x:c r="M69" s="41" t="n">
        <x:f>0</x:f>
        <x:v>0</x:v>
      </x:c>
      <x:c r="N69" s="41" t="n">
        <x:f>0</x:f>
        <x:v>0</x:v>
      </x:c>
      <x:c r="O69" s="41" t="n">
        <x:f>0</x:f>
        <x:v>0</x:v>
      </x:c>
      <x:c r="P69" s="48" t="n">
        <x:f>IFERROR(VLOOKUP(G69,Golongan!$B:$E,2,FALSE),0)</x:f>
        <x:v>0</x:v>
      </x:c>
      <x:c r="Q69" s="48" t="n">
        <x:f>IFERROR(VLOOKUP(I69,Jabatan!$B:$E,3,FALSE),0)</x:f>
        <x:v>0</x:v>
      </x:c>
      <x:c r="R69" s="48" t="n">
        <x:f>IF(J69&gt;0,IF(K69&gt;=J69,IFERROR(VLOOKUP(G69,Golongan!$B:$E,4,FALSE),0),K69*IFERROR(VLOOKUP(G69,Golongan!$B:$E,3,FALSE),0)),0)</x:f>
        <x:v>0</x:v>
      </x:c>
      <x:c r="S69" s="48" t="n">
        <x:f>IFERROR(VLOOKUP(I69,Jabatan!$B:$E,4,FALSE),0)</x:f>
        <x:v>0</x:v>
      </x:c>
      <x:c r="T69" s="48" t="n">
        <x:f>F69*IFERROR(VLOOKUP("Tunjangan Masa Kerja / Tahun",Komponen!$A:$E,5,FALSE),0)</x:f>
        <x:v>0</x:v>
      </x:c>
      <x:c r="U69" s="48" t="n">
        <x:f>SUMIF(Lembur!$L$2:$L$501,A69&amp;"|"&amp;B69,Lembur!$I$2:$I$501)</x:f>
        <x:v>0</x:v>
      </x:c>
      <x:c r="V69" s="48" t="n">
        <x:f>K69*IFERROR(VLOOKUP("Uang Makan / Hari",Komponen!$A:$E,5,FALSE),0)</x:f>
        <x:v>0</x:v>
      </x:c>
      <x:c r="W69" s="48" t="n">
        <x:f>0</x:f>
        <x:v>0</x:v>
      </x:c>
      <x:c r="X69" s="48" t="n">
        <x:f>SUM(P69:W69)</x:f>
        <x:v>0</x:v>
      </x:c>
      <x:c r="Y69" s="48" t="n">
        <x:f>O69*IFERROR(VLOOKUP("Potongan Alpha",Komponen!$A:$E,5,FALSE),0)</x:f>
        <x:v>0</x:v>
      </x:c>
      <x:c r="Z69" s="48" t="n">
        <x:f>L69*IFERROR(VLOOKUP("Potongan Telat",Komponen!$A:$E,5,FALSE),0)</x:f>
        <x:v>0</x:v>
      </x:c>
      <x:c r="AA69" s="48" t="n">
        <x:f>0</x:f>
        <x:v>0</x:v>
      </x:c>
      <x:c r="AB69" s="48" t="n">
        <x:f>SUM(Y69:AA69)</x:f>
        <x:v>0</x:v>
      </x:c>
      <x:c r="AC69" s="48" t="n">
        <x:f>0</x:f>
        <x:v>0</x:v>
      </x:c>
      <x:c r="AD69" s="48" t="n">
        <x:f>X69-AB69+AC69</x:f>
        <x:v>0</x:v>
      </x:c>
      <x:c r="AE69" s="41" t="str">
        <x:f>IFERROR(VLOOKUP(B69,Karyawan!$A:$L,10,FALSE),"")</x:f>
      </x:c>
      <x:c r="AF69" s="41" t="str">
        <x:f>IF(AD69&lt;=0,"Cek gaji bersih",IF(P69&lt;=0,"Cek gaji pokok",IF(H69="","Cek jabatan",IF(G69="","Cek golongan","OK"))))</x:f>
        <x:v>Cek gaji bersih</x:v>
      </x:c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 t="n">
        <x:f>B70</x:f>
        <x:v>0</x:v>
      </x:c>
      <x:c r="D70" s="41" t="str">
        <x:f>IFERROR(VLOOKUP(B70,Karyawan!$A:$L,2,FALSE),"")</x:f>
      </x:c>
      <x:c r="E70" s="41" t="str">
        <x:f>IFERROR(VLOOKUP(B70,Karyawan!$A:$L,3,FALSE),"")</x:f>
      </x:c>
      <x:c r="F70" s="41" t="n">
        <x:f>IFERROR(VLOOKUP(B70,Karyawan!$A:$L,8,FALSE),0)</x:f>
        <x:v>0</x:v>
      </x:c>
      <x:c r="G70" s="41" t="str">
        <x:f>IFERROR(VLOOKUP(B70,Karyawan!$A:$L,6,FALSE),"")</x:f>
      </x:c>
      <x:c r="H70" s="41" t="str">
        <x:f>IFERROR(VLOOKUP(B70,Karyawan!$A:$L,4,FALSE),"")</x:f>
      </x:c>
      <x:c r="I70" s="41" t="str">
        <x:f>IFERROR(VLOOKUP(B70,Karyawan!$A:$L,5,FALSE),"")</x:f>
      </x:c>
      <x:c r="J70" s="41" t="n">
        <x:f>24</x:f>
        <x:v>24</x:v>
      </x:c>
      <x:c r="K70" s="41" t="n">
        <x:f>24</x:f>
        <x:v>24</x:v>
      </x:c>
      <x:c r="L70" s="41" t="n">
        <x:f>0</x:f>
        <x:v>0</x:v>
      </x:c>
      <x:c r="M70" s="41" t="n">
        <x:f>0</x:f>
        <x:v>0</x:v>
      </x:c>
      <x:c r="N70" s="41" t="n">
        <x:f>0</x:f>
        <x:v>0</x:v>
      </x:c>
      <x:c r="O70" s="41" t="n">
        <x:f>0</x:f>
        <x:v>0</x:v>
      </x:c>
      <x:c r="P70" s="48" t="n">
        <x:f>IFERROR(VLOOKUP(G70,Golongan!$B:$E,2,FALSE),0)</x:f>
        <x:v>0</x:v>
      </x:c>
      <x:c r="Q70" s="48" t="n">
        <x:f>IFERROR(VLOOKUP(I70,Jabatan!$B:$E,3,FALSE),0)</x:f>
        <x:v>0</x:v>
      </x:c>
      <x:c r="R70" s="48" t="n">
        <x:f>IF(J70&gt;0,IF(K70&gt;=J70,IFERROR(VLOOKUP(G70,Golongan!$B:$E,4,FALSE),0),K70*IFERROR(VLOOKUP(G70,Golongan!$B:$E,3,FALSE),0)),0)</x:f>
        <x:v>0</x:v>
      </x:c>
      <x:c r="S70" s="48" t="n">
        <x:f>IFERROR(VLOOKUP(I70,Jabatan!$B:$E,4,FALSE),0)</x:f>
        <x:v>0</x:v>
      </x:c>
      <x:c r="T70" s="48" t="n">
        <x:f>F70*IFERROR(VLOOKUP("Tunjangan Masa Kerja / Tahun",Komponen!$A:$E,5,FALSE),0)</x:f>
        <x:v>0</x:v>
      </x:c>
      <x:c r="U70" s="48" t="n">
        <x:f>SUMIF(Lembur!$L$2:$L$501,A70&amp;"|"&amp;B70,Lembur!$I$2:$I$501)</x:f>
        <x:v>0</x:v>
      </x:c>
      <x:c r="V70" s="48" t="n">
        <x:f>K70*IFERROR(VLOOKUP("Uang Makan / Hari",Komponen!$A:$E,5,FALSE),0)</x:f>
        <x:v>0</x:v>
      </x:c>
      <x:c r="W70" s="48" t="n">
        <x:f>0</x:f>
        <x:v>0</x:v>
      </x:c>
      <x:c r="X70" s="48" t="n">
        <x:f>SUM(P70:W70)</x:f>
        <x:v>0</x:v>
      </x:c>
      <x:c r="Y70" s="48" t="n">
        <x:f>O70*IFERROR(VLOOKUP("Potongan Alpha",Komponen!$A:$E,5,FALSE),0)</x:f>
        <x:v>0</x:v>
      </x:c>
      <x:c r="Z70" s="48" t="n">
        <x:f>L70*IFERROR(VLOOKUP("Potongan Telat",Komponen!$A:$E,5,FALSE),0)</x:f>
        <x:v>0</x:v>
      </x:c>
      <x:c r="AA70" s="48" t="n">
        <x:f>0</x:f>
        <x:v>0</x:v>
      </x:c>
      <x:c r="AB70" s="48" t="n">
        <x:f>SUM(Y70:AA70)</x:f>
        <x:v>0</x:v>
      </x:c>
      <x:c r="AC70" s="48" t="n">
        <x:f>0</x:f>
        <x:v>0</x:v>
      </x:c>
      <x:c r="AD70" s="48" t="n">
        <x:f>X70-AB70+AC70</x:f>
        <x:v>0</x:v>
      </x:c>
      <x:c r="AE70" s="41" t="str">
        <x:f>IFERROR(VLOOKUP(B70,Karyawan!$A:$L,10,FALSE),"")</x:f>
      </x:c>
      <x:c r="AF70" s="41" t="str">
        <x:f>IF(AD70&lt;=0,"Cek gaji bersih",IF(P70&lt;=0,"Cek gaji pokok",IF(H70="","Cek jabatan",IF(G70="","Cek golongan","OK"))))</x:f>
        <x:v>Cek gaji bersih</x:v>
      </x:c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 t="n">
        <x:f>B71</x:f>
        <x:v>0</x:v>
      </x:c>
      <x:c r="D71" s="41" t="str">
        <x:f>IFERROR(VLOOKUP(B71,Karyawan!$A:$L,2,FALSE),"")</x:f>
      </x:c>
      <x:c r="E71" s="41" t="str">
        <x:f>IFERROR(VLOOKUP(B71,Karyawan!$A:$L,3,FALSE),"")</x:f>
      </x:c>
      <x:c r="F71" s="41" t="n">
        <x:f>IFERROR(VLOOKUP(B71,Karyawan!$A:$L,8,FALSE),0)</x:f>
        <x:v>0</x:v>
      </x:c>
      <x:c r="G71" s="41" t="str">
        <x:f>IFERROR(VLOOKUP(B71,Karyawan!$A:$L,6,FALSE),"")</x:f>
      </x:c>
      <x:c r="H71" s="41" t="str">
        <x:f>IFERROR(VLOOKUP(B71,Karyawan!$A:$L,4,FALSE),"")</x:f>
      </x:c>
      <x:c r="I71" s="41" t="str">
        <x:f>IFERROR(VLOOKUP(B71,Karyawan!$A:$L,5,FALSE),"")</x:f>
      </x:c>
      <x:c r="J71" s="41" t="n">
        <x:f>24</x:f>
        <x:v>24</x:v>
      </x:c>
      <x:c r="K71" s="41" t="n">
        <x:f>24</x:f>
        <x:v>24</x:v>
      </x:c>
      <x:c r="L71" s="41" t="n">
        <x:f>0</x:f>
        <x:v>0</x:v>
      </x:c>
      <x:c r="M71" s="41" t="n">
        <x:f>0</x:f>
        <x:v>0</x:v>
      </x:c>
      <x:c r="N71" s="41" t="n">
        <x:f>0</x:f>
        <x:v>0</x:v>
      </x:c>
      <x:c r="O71" s="41" t="n">
        <x:f>0</x:f>
        <x:v>0</x:v>
      </x:c>
      <x:c r="P71" s="48" t="n">
        <x:f>IFERROR(VLOOKUP(G71,Golongan!$B:$E,2,FALSE),0)</x:f>
        <x:v>0</x:v>
      </x:c>
      <x:c r="Q71" s="48" t="n">
        <x:f>IFERROR(VLOOKUP(I71,Jabatan!$B:$E,3,FALSE),0)</x:f>
        <x:v>0</x:v>
      </x:c>
      <x:c r="R71" s="48" t="n">
        <x:f>IF(J71&gt;0,IF(K71&gt;=J71,IFERROR(VLOOKUP(G71,Golongan!$B:$E,4,FALSE),0),K71*IFERROR(VLOOKUP(G71,Golongan!$B:$E,3,FALSE),0)),0)</x:f>
        <x:v>0</x:v>
      </x:c>
      <x:c r="S71" s="48" t="n">
        <x:f>IFERROR(VLOOKUP(I71,Jabatan!$B:$E,4,FALSE),0)</x:f>
        <x:v>0</x:v>
      </x:c>
      <x:c r="T71" s="48" t="n">
        <x:f>F71*IFERROR(VLOOKUP("Tunjangan Masa Kerja / Tahun",Komponen!$A:$E,5,FALSE),0)</x:f>
        <x:v>0</x:v>
      </x:c>
      <x:c r="U71" s="48" t="n">
        <x:f>SUMIF(Lembur!$L$2:$L$501,A71&amp;"|"&amp;B71,Lembur!$I$2:$I$501)</x:f>
        <x:v>0</x:v>
      </x:c>
      <x:c r="V71" s="48" t="n">
        <x:f>K71*IFERROR(VLOOKUP("Uang Makan / Hari",Komponen!$A:$E,5,FALSE),0)</x:f>
        <x:v>0</x:v>
      </x:c>
      <x:c r="W71" s="48" t="n">
        <x:f>0</x:f>
        <x:v>0</x:v>
      </x:c>
      <x:c r="X71" s="48" t="n">
        <x:f>SUM(P71:W71)</x:f>
        <x:v>0</x:v>
      </x:c>
      <x:c r="Y71" s="48" t="n">
        <x:f>O71*IFERROR(VLOOKUP("Potongan Alpha",Komponen!$A:$E,5,FALSE),0)</x:f>
        <x:v>0</x:v>
      </x:c>
      <x:c r="Z71" s="48" t="n">
        <x:f>L71*IFERROR(VLOOKUP("Potongan Telat",Komponen!$A:$E,5,FALSE),0)</x:f>
        <x:v>0</x:v>
      </x:c>
      <x:c r="AA71" s="48" t="n">
        <x:f>0</x:f>
        <x:v>0</x:v>
      </x:c>
      <x:c r="AB71" s="48" t="n">
        <x:f>SUM(Y71:AA71)</x:f>
        <x:v>0</x:v>
      </x:c>
      <x:c r="AC71" s="48" t="n">
        <x:f>0</x:f>
        <x:v>0</x:v>
      </x:c>
      <x:c r="AD71" s="48" t="n">
        <x:f>X71-AB71+AC71</x:f>
        <x:v>0</x:v>
      </x:c>
      <x:c r="AE71" s="41" t="str">
        <x:f>IFERROR(VLOOKUP(B71,Karyawan!$A:$L,10,FALSE),"")</x:f>
      </x:c>
      <x:c r="AF71" s="41" t="str">
        <x:f>IF(AD71&lt;=0,"Cek gaji bersih",IF(P71&lt;=0,"Cek gaji pokok",IF(H71="","Cek jabatan",IF(G71="","Cek golongan","OK"))))</x:f>
        <x:v>Cek gaji bersih</x:v>
      </x:c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 t="n">
        <x:f>B72</x:f>
        <x:v>0</x:v>
      </x:c>
      <x:c r="D72" s="41" t="str">
        <x:f>IFERROR(VLOOKUP(B72,Karyawan!$A:$L,2,FALSE),"")</x:f>
      </x:c>
      <x:c r="E72" s="41" t="str">
        <x:f>IFERROR(VLOOKUP(B72,Karyawan!$A:$L,3,FALSE),"")</x:f>
      </x:c>
      <x:c r="F72" s="41" t="n">
        <x:f>IFERROR(VLOOKUP(B72,Karyawan!$A:$L,8,FALSE),0)</x:f>
        <x:v>0</x:v>
      </x:c>
      <x:c r="G72" s="41" t="str">
        <x:f>IFERROR(VLOOKUP(B72,Karyawan!$A:$L,6,FALSE),"")</x:f>
      </x:c>
      <x:c r="H72" s="41" t="str">
        <x:f>IFERROR(VLOOKUP(B72,Karyawan!$A:$L,4,FALSE),"")</x:f>
      </x:c>
      <x:c r="I72" s="41" t="str">
        <x:f>IFERROR(VLOOKUP(B72,Karyawan!$A:$L,5,FALSE),"")</x:f>
      </x:c>
      <x:c r="J72" s="41" t="n">
        <x:f>24</x:f>
        <x:v>24</x:v>
      </x:c>
      <x:c r="K72" s="41" t="n">
        <x:f>24</x:f>
        <x:v>24</x:v>
      </x:c>
      <x:c r="L72" s="41" t="n">
        <x:f>0</x:f>
        <x:v>0</x:v>
      </x:c>
      <x:c r="M72" s="41" t="n">
        <x:f>0</x:f>
        <x:v>0</x:v>
      </x:c>
      <x:c r="N72" s="41" t="n">
        <x:f>0</x:f>
        <x:v>0</x:v>
      </x:c>
      <x:c r="O72" s="41" t="n">
        <x:f>0</x:f>
        <x:v>0</x:v>
      </x:c>
      <x:c r="P72" s="48" t="n">
        <x:f>IFERROR(VLOOKUP(G72,Golongan!$B:$E,2,FALSE),0)</x:f>
        <x:v>0</x:v>
      </x:c>
      <x:c r="Q72" s="48" t="n">
        <x:f>IFERROR(VLOOKUP(I72,Jabatan!$B:$E,3,FALSE),0)</x:f>
        <x:v>0</x:v>
      </x:c>
      <x:c r="R72" s="48" t="n">
        <x:f>IF(J72&gt;0,IF(K72&gt;=J72,IFERROR(VLOOKUP(G72,Golongan!$B:$E,4,FALSE),0),K72*IFERROR(VLOOKUP(G72,Golongan!$B:$E,3,FALSE),0)),0)</x:f>
        <x:v>0</x:v>
      </x:c>
      <x:c r="S72" s="48" t="n">
        <x:f>IFERROR(VLOOKUP(I72,Jabatan!$B:$E,4,FALSE),0)</x:f>
        <x:v>0</x:v>
      </x:c>
      <x:c r="T72" s="48" t="n">
        <x:f>F72*IFERROR(VLOOKUP("Tunjangan Masa Kerja / Tahun",Komponen!$A:$E,5,FALSE),0)</x:f>
        <x:v>0</x:v>
      </x:c>
      <x:c r="U72" s="48" t="n">
        <x:f>SUMIF(Lembur!$L$2:$L$501,A72&amp;"|"&amp;B72,Lembur!$I$2:$I$501)</x:f>
        <x:v>0</x:v>
      </x:c>
      <x:c r="V72" s="48" t="n">
        <x:f>K72*IFERROR(VLOOKUP("Uang Makan / Hari",Komponen!$A:$E,5,FALSE),0)</x:f>
        <x:v>0</x:v>
      </x:c>
      <x:c r="W72" s="48" t="n">
        <x:f>0</x:f>
        <x:v>0</x:v>
      </x:c>
      <x:c r="X72" s="48" t="n">
        <x:f>SUM(P72:W72)</x:f>
        <x:v>0</x:v>
      </x:c>
      <x:c r="Y72" s="48" t="n">
        <x:f>O72*IFERROR(VLOOKUP("Potongan Alpha",Komponen!$A:$E,5,FALSE),0)</x:f>
        <x:v>0</x:v>
      </x:c>
      <x:c r="Z72" s="48" t="n">
        <x:f>L72*IFERROR(VLOOKUP("Potongan Telat",Komponen!$A:$E,5,FALSE),0)</x:f>
        <x:v>0</x:v>
      </x:c>
      <x:c r="AA72" s="48" t="n">
        <x:f>0</x:f>
        <x:v>0</x:v>
      </x:c>
      <x:c r="AB72" s="48" t="n">
        <x:f>SUM(Y72:AA72)</x:f>
        <x:v>0</x:v>
      </x:c>
      <x:c r="AC72" s="48" t="n">
        <x:f>0</x:f>
        <x:v>0</x:v>
      </x:c>
      <x:c r="AD72" s="48" t="n">
        <x:f>X72-AB72+AC72</x:f>
        <x:v>0</x:v>
      </x:c>
      <x:c r="AE72" s="41" t="str">
        <x:f>IFERROR(VLOOKUP(B72,Karyawan!$A:$L,10,FALSE),"")</x:f>
      </x:c>
      <x:c r="AF72" s="41" t="str">
        <x:f>IF(AD72&lt;=0,"Cek gaji bersih",IF(P72&lt;=0,"Cek gaji pokok",IF(H72="","Cek jabatan",IF(G72="","Cek golongan","OK"))))</x:f>
        <x:v>Cek gaji bersih</x:v>
      </x:c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 t="n">
        <x:f>B73</x:f>
        <x:v>0</x:v>
      </x:c>
      <x:c r="D73" s="41" t="str">
        <x:f>IFERROR(VLOOKUP(B73,Karyawan!$A:$L,2,FALSE),"")</x:f>
      </x:c>
      <x:c r="E73" s="41" t="str">
        <x:f>IFERROR(VLOOKUP(B73,Karyawan!$A:$L,3,FALSE),"")</x:f>
      </x:c>
      <x:c r="F73" s="41" t="n">
        <x:f>IFERROR(VLOOKUP(B73,Karyawan!$A:$L,8,FALSE),0)</x:f>
        <x:v>0</x:v>
      </x:c>
      <x:c r="G73" s="41" t="str">
        <x:f>IFERROR(VLOOKUP(B73,Karyawan!$A:$L,6,FALSE),"")</x:f>
      </x:c>
      <x:c r="H73" s="41" t="str">
        <x:f>IFERROR(VLOOKUP(B73,Karyawan!$A:$L,4,FALSE),"")</x:f>
      </x:c>
      <x:c r="I73" s="41" t="str">
        <x:f>IFERROR(VLOOKUP(B73,Karyawan!$A:$L,5,FALSE),"")</x:f>
      </x:c>
      <x:c r="J73" s="41" t="n">
        <x:f>24</x:f>
        <x:v>24</x:v>
      </x:c>
      <x:c r="K73" s="41" t="n">
        <x:f>24</x:f>
        <x:v>24</x:v>
      </x:c>
      <x:c r="L73" s="41" t="n">
        <x:f>0</x:f>
        <x:v>0</x:v>
      </x:c>
      <x:c r="M73" s="41" t="n">
        <x:f>0</x:f>
        <x:v>0</x:v>
      </x:c>
      <x:c r="N73" s="41" t="n">
        <x:f>0</x:f>
        <x:v>0</x:v>
      </x:c>
      <x:c r="O73" s="41" t="n">
        <x:f>0</x:f>
        <x:v>0</x:v>
      </x:c>
      <x:c r="P73" s="48" t="n">
        <x:f>IFERROR(VLOOKUP(G73,Golongan!$B:$E,2,FALSE),0)</x:f>
        <x:v>0</x:v>
      </x:c>
      <x:c r="Q73" s="48" t="n">
        <x:f>IFERROR(VLOOKUP(I73,Jabatan!$B:$E,3,FALSE),0)</x:f>
        <x:v>0</x:v>
      </x:c>
      <x:c r="R73" s="48" t="n">
        <x:f>IF(J73&gt;0,IF(K73&gt;=J73,IFERROR(VLOOKUP(G73,Golongan!$B:$E,4,FALSE),0),K73*IFERROR(VLOOKUP(G73,Golongan!$B:$E,3,FALSE),0)),0)</x:f>
        <x:v>0</x:v>
      </x:c>
      <x:c r="S73" s="48" t="n">
        <x:f>IFERROR(VLOOKUP(I73,Jabatan!$B:$E,4,FALSE),0)</x:f>
        <x:v>0</x:v>
      </x:c>
      <x:c r="T73" s="48" t="n">
        <x:f>F73*IFERROR(VLOOKUP("Tunjangan Masa Kerja / Tahun",Komponen!$A:$E,5,FALSE),0)</x:f>
        <x:v>0</x:v>
      </x:c>
      <x:c r="U73" s="48" t="n">
        <x:f>SUMIF(Lembur!$L$2:$L$501,A73&amp;"|"&amp;B73,Lembur!$I$2:$I$501)</x:f>
        <x:v>0</x:v>
      </x:c>
      <x:c r="V73" s="48" t="n">
        <x:f>K73*IFERROR(VLOOKUP("Uang Makan / Hari",Komponen!$A:$E,5,FALSE),0)</x:f>
        <x:v>0</x:v>
      </x:c>
      <x:c r="W73" s="48" t="n">
        <x:f>0</x:f>
        <x:v>0</x:v>
      </x:c>
      <x:c r="X73" s="48" t="n">
        <x:f>SUM(P73:W73)</x:f>
        <x:v>0</x:v>
      </x:c>
      <x:c r="Y73" s="48" t="n">
        <x:f>O73*IFERROR(VLOOKUP("Potongan Alpha",Komponen!$A:$E,5,FALSE),0)</x:f>
        <x:v>0</x:v>
      </x:c>
      <x:c r="Z73" s="48" t="n">
        <x:f>L73*IFERROR(VLOOKUP("Potongan Telat",Komponen!$A:$E,5,FALSE),0)</x:f>
        <x:v>0</x:v>
      </x:c>
      <x:c r="AA73" s="48" t="n">
        <x:f>0</x:f>
        <x:v>0</x:v>
      </x:c>
      <x:c r="AB73" s="48" t="n">
        <x:f>SUM(Y73:AA73)</x:f>
        <x:v>0</x:v>
      </x:c>
      <x:c r="AC73" s="48" t="n">
        <x:f>0</x:f>
        <x:v>0</x:v>
      </x:c>
      <x:c r="AD73" s="48" t="n">
        <x:f>X73-AB73+AC73</x:f>
        <x:v>0</x:v>
      </x:c>
      <x:c r="AE73" s="41" t="str">
        <x:f>IFERROR(VLOOKUP(B73,Karyawan!$A:$L,10,FALSE),"")</x:f>
      </x:c>
      <x:c r="AF73" s="41" t="str">
        <x:f>IF(AD73&lt;=0,"Cek gaji bersih",IF(P73&lt;=0,"Cek gaji pokok",IF(H73="","Cek jabatan",IF(G73="","Cek golongan","OK"))))</x:f>
        <x:v>Cek gaji bersih</x:v>
      </x:c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 t="n">
        <x:f>B74</x:f>
        <x:v>0</x:v>
      </x:c>
      <x:c r="D74" s="41" t="str">
        <x:f>IFERROR(VLOOKUP(B74,Karyawan!$A:$L,2,FALSE),"")</x:f>
      </x:c>
      <x:c r="E74" s="41" t="str">
        <x:f>IFERROR(VLOOKUP(B74,Karyawan!$A:$L,3,FALSE),"")</x:f>
      </x:c>
      <x:c r="F74" s="41" t="n">
        <x:f>IFERROR(VLOOKUP(B74,Karyawan!$A:$L,8,FALSE),0)</x:f>
        <x:v>0</x:v>
      </x:c>
      <x:c r="G74" s="41" t="str">
        <x:f>IFERROR(VLOOKUP(B74,Karyawan!$A:$L,6,FALSE),"")</x:f>
      </x:c>
      <x:c r="H74" s="41" t="str">
        <x:f>IFERROR(VLOOKUP(B74,Karyawan!$A:$L,4,FALSE),"")</x:f>
      </x:c>
      <x:c r="I74" s="41" t="str">
        <x:f>IFERROR(VLOOKUP(B74,Karyawan!$A:$L,5,FALSE),"")</x:f>
      </x:c>
      <x:c r="J74" s="41" t="n">
        <x:f>24</x:f>
        <x:v>24</x:v>
      </x:c>
      <x:c r="K74" s="41" t="n">
        <x:f>24</x:f>
        <x:v>24</x:v>
      </x:c>
      <x:c r="L74" s="41" t="n">
        <x:f>0</x:f>
        <x:v>0</x:v>
      </x:c>
      <x:c r="M74" s="41" t="n">
        <x:f>0</x:f>
        <x:v>0</x:v>
      </x:c>
      <x:c r="N74" s="41" t="n">
        <x:f>0</x:f>
        <x:v>0</x:v>
      </x:c>
      <x:c r="O74" s="41" t="n">
        <x:f>0</x:f>
        <x:v>0</x:v>
      </x:c>
      <x:c r="P74" s="48" t="n">
        <x:f>IFERROR(VLOOKUP(G74,Golongan!$B:$E,2,FALSE),0)</x:f>
        <x:v>0</x:v>
      </x:c>
      <x:c r="Q74" s="48" t="n">
        <x:f>IFERROR(VLOOKUP(I74,Jabatan!$B:$E,3,FALSE),0)</x:f>
        <x:v>0</x:v>
      </x:c>
      <x:c r="R74" s="48" t="n">
        <x:f>IF(J74&gt;0,IF(K74&gt;=J74,IFERROR(VLOOKUP(G74,Golongan!$B:$E,4,FALSE),0),K74*IFERROR(VLOOKUP(G74,Golongan!$B:$E,3,FALSE),0)),0)</x:f>
        <x:v>0</x:v>
      </x:c>
      <x:c r="S74" s="48" t="n">
        <x:f>IFERROR(VLOOKUP(I74,Jabatan!$B:$E,4,FALSE),0)</x:f>
        <x:v>0</x:v>
      </x:c>
      <x:c r="T74" s="48" t="n">
        <x:f>F74*IFERROR(VLOOKUP("Tunjangan Masa Kerja / Tahun",Komponen!$A:$E,5,FALSE),0)</x:f>
        <x:v>0</x:v>
      </x:c>
      <x:c r="U74" s="48" t="n">
        <x:f>SUMIF(Lembur!$L$2:$L$501,A74&amp;"|"&amp;B74,Lembur!$I$2:$I$501)</x:f>
        <x:v>0</x:v>
      </x:c>
      <x:c r="V74" s="48" t="n">
        <x:f>K74*IFERROR(VLOOKUP("Uang Makan / Hari",Komponen!$A:$E,5,FALSE),0)</x:f>
        <x:v>0</x:v>
      </x:c>
      <x:c r="W74" s="48" t="n">
        <x:f>0</x:f>
        <x:v>0</x:v>
      </x:c>
      <x:c r="X74" s="48" t="n">
        <x:f>SUM(P74:W74)</x:f>
        <x:v>0</x:v>
      </x:c>
      <x:c r="Y74" s="48" t="n">
        <x:f>O74*IFERROR(VLOOKUP("Potongan Alpha",Komponen!$A:$E,5,FALSE),0)</x:f>
        <x:v>0</x:v>
      </x:c>
      <x:c r="Z74" s="48" t="n">
        <x:f>L74*IFERROR(VLOOKUP("Potongan Telat",Komponen!$A:$E,5,FALSE),0)</x:f>
        <x:v>0</x:v>
      </x:c>
      <x:c r="AA74" s="48" t="n">
        <x:f>0</x:f>
        <x:v>0</x:v>
      </x:c>
      <x:c r="AB74" s="48" t="n">
        <x:f>SUM(Y74:AA74)</x:f>
        <x:v>0</x:v>
      </x:c>
      <x:c r="AC74" s="48" t="n">
        <x:f>0</x:f>
        <x:v>0</x:v>
      </x:c>
      <x:c r="AD74" s="48" t="n">
        <x:f>X74-AB74+AC74</x:f>
        <x:v>0</x:v>
      </x:c>
      <x:c r="AE74" s="41" t="str">
        <x:f>IFERROR(VLOOKUP(B74,Karyawan!$A:$L,10,FALSE),"")</x:f>
      </x:c>
      <x:c r="AF74" s="41" t="str">
        <x:f>IF(AD74&lt;=0,"Cek gaji bersih",IF(P74&lt;=0,"Cek gaji pokok",IF(H74="","Cek jabatan",IF(G74="","Cek golongan","OK"))))</x:f>
        <x:v>Cek gaji bersih</x:v>
      </x:c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 t="n">
        <x:f>B75</x:f>
        <x:v>0</x:v>
      </x:c>
      <x:c r="D75" s="41" t="str">
        <x:f>IFERROR(VLOOKUP(B75,Karyawan!$A:$L,2,FALSE),"")</x:f>
      </x:c>
      <x:c r="E75" s="41" t="str">
        <x:f>IFERROR(VLOOKUP(B75,Karyawan!$A:$L,3,FALSE),"")</x:f>
      </x:c>
      <x:c r="F75" s="41" t="n">
        <x:f>IFERROR(VLOOKUP(B75,Karyawan!$A:$L,8,FALSE),0)</x:f>
        <x:v>0</x:v>
      </x:c>
      <x:c r="G75" s="41" t="str">
        <x:f>IFERROR(VLOOKUP(B75,Karyawan!$A:$L,6,FALSE),"")</x:f>
      </x:c>
      <x:c r="H75" s="41" t="str">
        <x:f>IFERROR(VLOOKUP(B75,Karyawan!$A:$L,4,FALSE),"")</x:f>
      </x:c>
      <x:c r="I75" s="41" t="str">
        <x:f>IFERROR(VLOOKUP(B75,Karyawan!$A:$L,5,FALSE),"")</x:f>
      </x:c>
      <x:c r="J75" s="41" t="n">
        <x:f>24</x:f>
        <x:v>24</x:v>
      </x:c>
      <x:c r="K75" s="41" t="n">
        <x:f>24</x:f>
        <x:v>24</x:v>
      </x:c>
      <x:c r="L75" s="41" t="n">
        <x:f>0</x:f>
        <x:v>0</x:v>
      </x:c>
      <x:c r="M75" s="41" t="n">
        <x:f>0</x:f>
        <x:v>0</x:v>
      </x:c>
      <x:c r="N75" s="41" t="n">
        <x:f>0</x:f>
        <x:v>0</x:v>
      </x:c>
      <x:c r="O75" s="41" t="n">
        <x:f>0</x:f>
        <x:v>0</x:v>
      </x:c>
      <x:c r="P75" s="48" t="n">
        <x:f>IFERROR(VLOOKUP(G75,Golongan!$B:$E,2,FALSE),0)</x:f>
        <x:v>0</x:v>
      </x:c>
      <x:c r="Q75" s="48" t="n">
        <x:f>IFERROR(VLOOKUP(I75,Jabatan!$B:$E,3,FALSE),0)</x:f>
        <x:v>0</x:v>
      </x:c>
      <x:c r="R75" s="48" t="n">
        <x:f>IF(J75&gt;0,IF(K75&gt;=J75,IFERROR(VLOOKUP(G75,Golongan!$B:$E,4,FALSE),0),K75*IFERROR(VLOOKUP(G75,Golongan!$B:$E,3,FALSE),0)),0)</x:f>
        <x:v>0</x:v>
      </x:c>
      <x:c r="S75" s="48" t="n">
        <x:f>IFERROR(VLOOKUP(I75,Jabatan!$B:$E,4,FALSE),0)</x:f>
        <x:v>0</x:v>
      </x:c>
      <x:c r="T75" s="48" t="n">
        <x:f>F75*IFERROR(VLOOKUP("Tunjangan Masa Kerja / Tahun",Komponen!$A:$E,5,FALSE),0)</x:f>
        <x:v>0</x:v>
      </x:c>
      <x:c r="U75" s="48" t="n">
        <x:f>SUMIF(Lembur!$L$2:$L$501,A75&amp;"|"&amp;B75,Lembur!$I$2:$I$501)</x:f>
        <x:v>0</x:v>
      </x:c>
      <x:c r="V75" s="48" t="n">
        <x:f>K75*IFERROR(VLOOKUP("Uang Makan / Hari",Komponen!$A:$E,5,FALSE),0)</x:f>
        <x:v>0</x:v>
      </x:c>
      <x:c r="W75" s="48" t="n">
        <x:f>0</x:f>
        <x:v>0</x:v>
      </x:c>
      <x:c r="X75" s="48" t="n">
        <x:f>SUM(P75:W75)</x:f>
        <x:v>0</x:v>
      </x:c>
      <x:c r="Y75" s="48" t="n">
        <x:f>O75*IFERROR(VLOOKUP("Potongan Alpha",Komponen!$A:$E,5,FALSE),0)</x:f>
        <x:v>0</x:v>
      </x:c>
      <x:c r="Z75" s="48" t="n">
        <x:f>L75*IFERROR(VLOOKUP("Potongan Telat",Komponen!$A:$E,5,FALSE),0)</x:f>
        <x:v>0</x:v>
      </x:c>
      <x:c r="AA75" s="48" t="n">
        <x:f>0</x:f>
        <x:v>0</x:v>
      </x:c>
      <x:c r="AB75" s="48" t="n">
        <x:f>SUM(Y75:AA75)</x:f>
        <x:v>0</x:v>
      </x:c>
      <x:c r="AC75" s="48" t="n">
        <x:f>0</x:f>
        <x:v>0</x:v>
      </x:c>
      <x:c r="AD75" s="48" t="n">
        <x:f>X75-AB75+AC75</x:f>
        <x:v>0</x:v>
      </x:c>
      <x:c r="AE75" s="41" t="str">
        <x:f>IFERROR(VLOOKUP(B75,Karyawan!$A:$L,10,FALSE),"")</x:f>
      </x:c>
      <x:c r="AF75" s="41" t="str">
        <x:f>IF(AD75&lt;=0,"Cek gaji bersih",IF(P75&lt;=0,"Cek gaji pokok",IF(H75="","Cek jabatan",IF(G75="","Cek golongan","OK"))))</x:f>
        <x:v>Cek gaji bersih</x:v>
      </x:c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 t="n">
        <x:f>B76</x:f>
        <x:v>0</x:v>
      </x:c>
      <x:c r="D76" s="41" t="str">
        <x:f>IFERROR(VLOOKUP(B76,Karyawan!$A:$L,2,FALSE),"")</x:f>
      </x:c>
      <x:c r="E76" s="41" t="str">
        <x:f>IFERROR(VLOOKUP(B76,Karyawan!$A:$L,3,FALSE),"")</x:f>
      </x:c>
      <x:c r="F76" s="41" t="n">
        <x:f>IFERROR(VLOOKUP(B76,Karyawan!$A:$L,8,FALSE),0)</x:f>
        <x:v>0</x:v>
      </x:c>
      <x:c r="G76" s="41" t="str">
        <x:f>IFERROR(VLOOKUP(B76,Karyawan!$A:$L,6,FALSE),"")</x:f>
      </x:c>
      <x:c r="H76" s="41" t="str">
        <x:f>IFERROR(VLOOKUP(B76,Karyawan!$A:$L,4,FALSE),"")</x:f>
      </x:c>
      <x:c r="I76" s="41" t="str">
        <x:f>IFERROR(VLOOKUP(B76,Karyawan!$A:$L,5,FALSE),"")</x:f>
      </x:c>
      <x:c r="J76" s="41" t="n">
        <x:f>24</x:f>
        <x:v>24</x:v>
      </x:c>
      <x:c r="K76" s="41" t="n">
        <x:f>24</x:f>
        <x:v>24</x:v>
      </x:c>
      <x:c r="L76" s="41" t="n">
        <x:f>0</x:f>
        <x:v>0</x:v>
      </x:c>
      <x:c r="M76" s="41" t="n">
        <x:f>0</x:f>
        <x:v>0</x:v>
      </x:c>
      <x:c r="N76" s="41" t="n">
        <x:f>0</x:f>
        <x:v>0</x:v>
      </x:c>
      <x:c r="O76" s="41" t="n">
        <x:f>0</x:f>
        <x:v>0</x:v>
      </x:c>
      <x:c r="P76" s="48" t="n">
        <x:f>IFERROR(VLOOKUP(G76,Golongan!$B:$E,2,FALSE),0)</x:f>
        <x:v>0</x:v>
      </x:c>
      <x:c r="Q76" s="48" t="n">
        <x:f>IFERROR(VLOOKUP(I76,Jabatan!$B:$E,3,FALSE),0)</x:f>
        <x:v>0</x:v>
      </x:c>
      <x:c r="R76" s="48" t="n">
        <x:f>IF(J76&gt;0,IF(K76&gt;=J76,IFERROR(VLOOKUP(G76,Golongan!$B:$E,4,FALSE),0),K76*IFERROR(VLOOKUP(G76,Golongan!$B:$E,3,FALSE),0)),0)</x:f>
        <x:v>0</x:v>
      </x:c>
      <x:c r="S76" s="48" t="n">
        <x:f>IFERROR(VLOOKUP(I76,Jabatan!$B:$E,4,FALSE),0)</x:f>
        <x:v>0</x:v>
      </x:c>
      <x:c r="T76" s="48" t="n">
        <x:f>F76*IFERROR(VLOOKUP("Tunjangan Masa Kerja / Tahun",Komponen!$A:$E,5,FALSE),0)</x:f>
        <x:v>0</x:v>
      </x:c>
      <x:c r="U76" s="48" t="n">
        <x:f>SUMIF(Lembur!$L$2:$L$501,A76&amp;"|"&amp;B76,Lembur!$I$2:$I$501)</x:f>
        <x:v>0</x:v>
      </x:c>
      <x:c r="V76" s="48" t="n">
        <x:f>K76*IFERROR(VLOOKUP("Uang Makan / Hari",Komponen!$A:$E,5,FALSE),0)</x:f>
        <x:v>0</x:v>
      </x:c>
      <x:c r="W76" s="48" t="n">
        <x:f>0</x:f>
        <x:v>0</x:v>
      </x:c>
      <x:c r="X76" s="48" t="n">
        <x:f>SUM(P76:W76)</x:f>
        <x:v>0</x:v>
      </x:c>
      <x:c r="Y76" s="48" t="n">
        <x:f>O76*IFERROR(VLOOKUP("Potongan Alpha",Komponen!$A:$E,5,FALSE),0)</x:f>
        <x:v>0</x:v>
      </x:c>
      <x:c r="Z76" s="48" t="n">
        <x:f>L76*IFERROR(VLOOKUP("Potongan Telat",Komponen!$A:$E,5,FALSE),0)</x:f>
        <x:v>0</x:v>
      </x:c>
      <x:c r="AA76" s="48" t="n">
        <x:f>0</x:f>
        <x:v>0</x:v>
      </x:c>
      <x:c r="AB76" s="48" t="n">
        <x:f>SUM(Y76:AA76)</x:f>
        <x:v>0</x:v>
      </x:c>
      <x:c r="AC76" s="48" t="n">
        <x:f>0</x:f>
        <x:v>0</x:v>
      </x:c>
      <x:c r="AD76" s="48" t="n">
        <x:f>X76-AB76+AC76</x:f>
        <x:v>0</x:v>
      </x:c>
      <x:c r="AE76" s="41" t="str">
        <x:f>IFERROR(VLOOKUP(B76,Karyawan!$A:$L,10,FALSE),"")</x:f>
      </x:c>
      <x:c r="AF76" s="41" t="str">
        <x:f>IF(AD76&lt;=0,"Cek gaji bersih",IF(P76&lt;=0,"Cek gaji pokok",IF(H76="","Cek jabatan",IF(G76="","Cek golongan","OK"))))</x:f>
        <x:v>Cek gaji bersih</x:v>
      </x:c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 t="n">
        <x:f>B77</x:f>
        <x:v>0</x:v>
      </x:c>
      <x:c r="D77" s="41" t="str">
        <x:f>IFERROR(VLOOKUP(B77,Karyawan!$A:$L,2,FALSE),"")</x:f>
      </x:c>
      <x:c r="E77" s="41" t="str">
        <x:f>IFERROR(VLOOKUP(B77,Karyawan!$A:$L,3,FALSE),"")</x:f>
      </x:c>
      <x:c r="F77" s="41" t="n">
        <x:f>IFERROR(VLOOKUP(B77,Karyawan!$A:$L,8,FALSE),0)</x:f>
        <x:v>0</x:v>
      </x:c>
      <x:c r="G77" s="41" t="str">
        <x:f>IFERROR(VLOOKUP(B77,Karyawan!$A:$L,6,FALSE),"")</x:f>
      </x:c>
      <x:c r="H77" s="41" t="str">
        <x:f>IFERROR(VLOOKUP(B77,Karyawan!$A:$L,4,FALSE),"")</x:f>
      </x:c>
      <x:c r="I77" s="41" t="str">
        <x:f>IFERROR(VLOOKUP(B77,Karyawan!$A:$L,5,FALSE),"")</x:f>
      </x:c>
      <x:c r="J77" s="41" t="n">
        <x:f>24</x:f>
        <x:v>24</x:v>
      </x:c>
      <x:c r="K77" s="41" t="n">
        <x:f>24</x:f>
        <x:v>24</x:v>
      </x:c>
      <x:c r="L77" s="41" t="n">
        <x:f>0</x:f>
        <x:v>0</x:v>
      </x:c>
      <x:c r="M77" s="41" t="n">
        <x:f>0</x:f>
        <x:v>0</x:v>
      </x:c>
      <x:c r="N77" s="41" t="n">
        <x:f>0</x:f>
        <x:v>0</x:v>
      </x:c>
      <x:c r="O77" s="41" t="n">
        <x:f>0</x:f>
        <x:v>0</x:v>
      </x:c>
      <x:c r="P77" s="48" t="n">
        <x:f>IFERROR(VLOOKUP(G77,Golongan!$B:$E,2,FALSE),0)</x:f>
        <x:v>0</x:v>
      </x:c>
      <x:c r="Q77" s="48" t="n">
        <x:f>IFERROR(VLOOKUP(I77,Jabatan!$B:$E,3,FALSE),0)</x:f>
        <x:v>0</x:v>
      </x:c>
      <x:c r="R77" s="48" t="n">
        <x:f>IF(J77&gt;0,IF(K77&gt;=J77,IFERROR(VLOOKUP(G77,Golongan!$B:$E,4,FALSE),0),K77*IFERROR(VLOOKUP(G77,Golongan!$B:$E,3,FALSE),0)),0)</x:f>
        <x:v>0</x:v>
      </x:c>
      <x:c r="S77" s="48" t="n">
        <x:f>IFERROR(VLOOKUP(I77,Jabatan!$B:$E,4,FALSE),0)</x:f>
        <x:v>0</x:v>
      </x:c>
      <x:c r="T77" s="48" t="n">
        <x:f>F77*IFERROR(VLOOKUP("Tunjangan Masa Kerja / Tahun",Komponen!$A:$E,5,FALSE),0)</x:f>
        <x:v>0</x:v>
      </x:c>
      <x:c r="U77" s="48" t="n">
        <x:f>SUMIF(Lembur!$L$2:$L$501,A77&amp;"|"&amp;B77,Lembur!$I$2:$I$501)</x:f>
        <x:v>0</x:v>
      </x:c>
      <x:c r="V77" s="48" t="n">
        <x:f>K77*IFERROR(VLOOKUP("Uang Makan / Hari",Komponen!$A:$E,5,FALSE),0)</x:f>
        <x:v>0</x:v>
      </x:c>
      <x:c r="W77" s="48" t="n">
        <x:f>0</x:f>
        <x:v>0</x:v>
      </x:c>
      <x:c r="X77" s="48" t="n">
        <x:f>SUM(P77:W77)</x:f>
        <x:v>0</x:v>
      </x:c>
      <x:c r="Y77" s="48" t="n">
        <x:f>O77*IFERROR(VLOOKUP("Potongan Alpha",Komponen!$A:$E,5,FALSE),0)</x:f>
        <x:v>0</x:v>
      </x:c>
      <x:c r="Z77" s="48" t="n">
        <x:f>L77*IFERROR(VLOOKUP("Potongan Telat",Komponen!$A:$E,5,FALSE),0)</x:f>
        <x:v>0</x:v>
      </x:c>
      <x:c r="AA77" s="48" t="n">
        <x:f>0</x:f>
        <x:v>0</x:v>
      </x:c>
      <x:c r="AB77" s="48" t="n">
        <x:f>SUM(Y77:AA77)</x:f>
        <x:v>0</x:v>
      </x:c>
      <x:c r="AC77" s="48" t="n">
        <x:f>0</x:f>
        <x:v>0</x:v>
      </x:c>
      <x:c r="AD77" s="48" t="n">
        <x:f>X77-AB77+AC77</x:f>
        <x:v>0</x:v>
      </x:c>
      <x:c r="AE77" s="41" t="str">
        <x:f>IFERROR(VLOOKUP(B77,Karyawan!$A:$L,10,FALSE),"")</x:f>
      </x:c>
      <x:c r="AF77" s="41" t="str">
        <x:f>IF(AD77&lt;=0,"Cek gaji bersih",IF(P77&lt;=0,"Cek gaji pokok",IF(H77="","Cek jabatan",IF(G77="","Cek golongan","OK"))))</x:f>
        <x:v>Cek gaji bersih</x:v>
      </x:c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 t="n">
        <x:f>B78</x:f>
        <x:v>0</x:v>
      </x:c>
      <x:c r="D78" s="41" t="str">
        <x:f>IFERROR(VLOOKUP(B78,Karyawan!$A:$L,2,FALSE),"")</x:f>
      </x:c>
      <x:c r="E78" s="41" t="str">
        <x:f>IFERROR(VLOOKUP(B78,Karyawan!$A:$L,3,FALSE),"")</x:f>
      </x:c>
      <x:c r="F78" s="41" t="n">
        <x:f>IFERROR(VLOOKUP(B78,Karyawan!$A:$L,8,FALSE),0)</x:f>
        <x:v>0</x:v>
      </x:c>
      <x:c r="G78" s="41" t="str">
        <x:f>IFERROR(VLOOKUP(B78,Karyawan!$A:$L,6,FALSE),"")</x:f>
      </x:c>
      <x:c r="H78" s="41" t="str">
        <x:f>IFERROR(VLOOKUP(B78,Karyawan!$A:$L,4,FALSE),"")</x:f>
      </x:c>
      <x:c r="I78" s="41" t="str">
        <x:f>IFERROR(VLOOKUP(B78,Karyawan!$A:$L,5,FALSE),"")</x:f>
      </x:c>
      <x:c r="J78" s="41" t="n">
        <x:f>24</x:f>
        <x:v>24</x:v>
      </x:c>
      <x:c r="K78" s="41" t="n">
        <x:f>24</x:f>
        <x:v>24</x:v>
      </x:c>
      <x:c r="L78" s="41" t="n">
        <x:f>0</x:f>
        <x:v>0</x:v>
      </x:c>
      <x:c r="M78" s="41" t="n">
        <x:f>0</x:f>
        <x:v>0</x:v>
      </x:c>
      <x:c r="N78" s="41" t="n">
        <x:f>0</x:f>
        <x:v>0</x:v>
      </x:c>
      <x:c r="O78" s="41" t="n">
        <x:f>0</x:f>
        <x:v>0</x:v>
      </x:c>
      <x:c r="P78" s="48" t="n">
        <x:f>IFERROR(VLOOKUP(G78,Golongan!$B:$E,2,FALSE),0)</x:f>
        <x:v>0</x:v>
      </x:c>
      <x:c r="Q78" s="48" t="n">
        <x:f>IFERROR(VLOOKUP(I78,Jabatan!$B:$E,3,FALSE),0)</x:f>
        <x:v>0</x:v>
      </x:c>
      <x:c r="R78" s="48" t="n">
        <x:f>IF(J78&gt;0,IF(K78&gt;=J78,IFERROR(VLOOKUP(G78,Golongan!$B:$E,4,FALSE),0),K78*IFERROR(VLOOKUP(G78,Golongan!$B:$E,3,FALSE),0)),0)</x:f>
        <x:v>0</x:v>
      </x:c>
      <x:c r="S78" s="48" t="n">
        <x:f>IFERROR(VLOOKUP(I78,Jabatan!$B:$E,4,FALSE),0)</x:f>
        <x:v>0</x:v>
      </x:c>
      <x:c r="T78" s="48" t="n">
        <x:f>F78*IFERROR(VLOOKUP("Tunjangan Masa Kerja / Tahun",Komponen!$A:$E,5,FALSE),0)</x:f>
        <x:v>0</x:v>
      </x:c>
      <x:c r="U78" s="48" t="n">
        <x:f>SUMIF(Lembur!$L$2:$L$501,A78&amp;"|"&amp;B78,Lembur!$I$2:$I$501)</x:f>
        <x:v>0</x:v>
      </x:c>
      <x:c r="V78" s="48" t="n">
        <x:f>K78*IFERROR(VLOOKUP("Uang Makan / Hari",Komponen!$A:$E,5,FALSE),0)</x:f>
        <x:v>0</x:v>
      </x:c>
      <x:c r="W78" s="48" t="n">
        <x:f>0</x:f>
        <x:v>0</x:v>
      </x:c>
      <x:c r="X78" s="48" t="n">
        <x:f>SUM(P78:W78)</x:f>
        <x:v>0</x:v>
      </x:c>
      <x:c r="Y78" s="48" t="n">
        <x:f>O78*IFERROR(VLOOKUP("Potongan Alpha",Komponen!$A:$E,5,FALSE),0)</x:f>
        <x:v>0</x:v>
      </x:c>
      <x:c r="Z78" s="48" t="n">
        <x:f>L78*IFERROR(VLOOKUP("Potongan Telat",Komponen!$A:$E,5,FALSE),0)</x:f>
        <x:v>0</x:v>
      </x:c>
      <x:c r="AA78" s="48" t="n">
        <x:f>0</x:f>
        <x:v>0</x:v>
      </x:c>
      <x:c r="AB78" s="48" t="n">
        <x:f>SUM(Y78:AA78)</x:f>
        <x:v>0</x:v>
      </x:c>
      <x:c r="AC78" s="48" t="n">
        <x:f>0</x:f>
        <x:v>0</x:v>
      </x:c>
      <x:c r="AD78" s="48" t="n">
        <x:f>X78-AB78+AC78</x:f>
        <x:v>0</x:v>
      </x:c>
      <x:c r="AE78" s="41" t="str">
        <x:f>IFERROR(VLOOKUP(B78,Karyawan!$A:$L,10,FALSE),"")</x:f>
      </x:c>
      <x:c r="AF78" s="41" t="str">
        <x:f>IF(AD78&lt;=0,"Cek gaji bersih",IF(P78&lt;=0,"Cek gaji pokok",IF(H78="","Cek jabatan",IF(G78="","Cek golongan","OK"))))</x:f>
        <x:v>Cek gaji bersih</x:v>
      </x:c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 t="n">
        <x:f>B79</x:f>
        <x:v>0</x:v>
      </x:c>
      <x:c r="D79" s="41" t="str">
        <x:f>IFERROR(VLOOKUP(B79,Karyawan!$A:$L,2,FALSE),"")</x:f>
      </x:c>
      <x:c r="E79" s="41" t="str">
        <x:f>IFERROR(VLOOKUP(B79,Karyawan!$A:$L,3,FALSE),"")</x:f>
      </x:c>
      <x:c r="F79" s="41" t="n">
        <x:f>IFERROR(VLOOKUP(B79,Karyawan!$A:$L,8,FALSE),0)</x:f>
        <x:v>0</x:v>
      </x:c>
      <x:c r="G79" s="41" t="str">
        <x:f>IFERROR(VLOOKUP(B79,Karyawan!$A:$L,6,FALSE),"")</x:f>
      </x:c>
      <x:c r="H79" s="41" t="str">
        <x:f>IFERROR(VLOOKUP(B79,Karyawan!$A:$L,4,FALSE),"")</x:f>
      </x:c>
      <x:c r="I79" s="41" t="str">
        <x:f>IFERROR(VLOOKUP(B79,Karyawan!$A:$L,5,FALSE),"")</x:f>
      </x:c>
      <x:c r="J79" s="41" t="n">
        <x:f>24</x:f>
        <x:v>24</x:v>
      </x:c>
      <x:c r="K79" s="41" t="n">
        <x:f>24</x:f>
        <x:v>24</x:v>
      </x:c>
      <x:c r="L79" s="41" t="n">
        <x:f>0</x:f>
        <x:v>0</x:v>
      </x:c>
      <x:c r="M79" s="41" t="n">
        <x:f>0</x:f>
        <x:v>0</x:v>
      </x:c>
      <x:c r="N79" s="41" t="n">
        <x:f>0</x:f>
        <x:v>0</x:v>
      </x:c>
      <x:c r="O79" s="41" t="n">
        <x:f>0</x:f>
        <x:v>0</x:v>
      </x:c>
      <x:c r="P79" s="48" t="n">
        <x:f>IFERROR(VLOOKUP(G79,Golongan!$B:$E,2,FALSE),0)</x:f>
        <x:v>0</x:v>
      </x:c>
      <x:c r="Q79" s="48" t="n">
        <x:f>IFERROR(VLOOKUP(I79,Jabatan!$B:$E,3,FALSE),0)</x:f>
        <x:v>0</x:v>
      </x:c>
      <x:c r="R79" s="48" t="n">
        <x:f>IF(J79&gt;0,IF(K79&gt;=J79,IFERROR(VLOOKUP(G79,Golongan!$B:$E,4,FALSE),0),K79*IFERROR(VLOOKUP(G79,Golongan!$B:$E,3,FALSE),0)),0)</x:f>
        <x:v>0</x:v>
      </x:c>
      <x:c r="S79" s="48" t="n">
        <x:f>IFERROR(VLOOKUP(I79,Jabatan!$B:$E,4,FALSE),0)</x:f>
        <x:v>0</x:v>
      </x:c>
      <x:c r="T79" s="48" t="n">
        <x:f>F79*IFERROR(VLOOKUP("Tunjangan Masa Kerja / Tahun",Komponen!$A:$E,5,FALSE),0)</x:f>
        <x:v>0</x:v>
      </x:c>
      <x:c r="U79" s="48" t="n">
        <x:f>SUMIF(Lembur!$L$2:$L$501,A79&amp;"|"&amp;B79,Lembur!$I$2:$I$501)</x:f>
        <x:v>0</x:v>
      </x:c>
      <x:c r="V79" s="48" t="n">
        <x:f>K79*IFERROR(VLOOKUP("Uang Makan / Hari",Komponen!$A:$E,5,FALSE),0)</x:f>
        <x:v>0</x:v>
      </x:c>
      <x:c r="W79" s="48" t="n">
        <x:f>0</x:f>
        <x:v>0</x:v>
      </x:c>
      <x:c r="X79" s="48" t="n">
        <x:f>SUM(P79:W79)</x:f>
        <x:v>0</x:v>
      </x:c>
      <x:c r="Y79" s="48" t="n">
        <x:f>O79*IFERROR(VLOOKUP("Potongan Alpha",Komponen!$A:$E,5,FALSE),0)</x:f>
        <x:v>0</x:v>
      </x:c>
      <x:c r="Z79" s="48" t="n">
        <x:f>L79*IFERROR(VLOOKUP("Potongan Telat",Komponen!$A:$E,5,FALSE),0)</x:f>
        <x:v>0</x:v>
      </x:c>
      <x:c r="AA79" s="48" t="n">
        <x:f>0</x:f>
        <x:v>0</x:v>
      </x:c>
      <x:c r="AB79" s="48" t="n">
        <x:f>SUM(Y79:AA79)</x:f>
        <x:v>0</x:v>
      </x:c>
      <x:c r="AC79" s="48" t="n">
        <x:f>0</x:f>
        <x:v>0</x:v>
      </x:c>
      <x:c r="AD79" s="48" t="n">
        <x:f>X79-AB79+AC79</x:f>
        <x:v>0</x:v>
      </x:c>
      <x:c r="AE79" s="41" t="str">
        <x:f>IFERROR(VLOOKUP(B79,Karyawan!$A:$L,10,FALSE),"")</x:f>
      </x:c>
      <x:c r="AF79" s="41" t="str">
        <x:f>IF(AD79&lt;=0,"Cek gaji bersih",IF(P79&lt;=0,"Cek gaji pokok",IF(H79="","Cek jabatan",IF(G79="","Cek golongan","OK"))))</x:f>
        <x:v>Cek gaji bersih</x:v>
      </x:c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 t="n">
        <x:f>B80</x:f>
        <x:v>0</x:v>
      </x:c>
      <x:c r="D80" s="41" t="str">
        <x:f>IFERROR(VLOOKUP(B80,Karyawan!$A:$L,2,FALSE),"")</x:f>
      </x:c>
      <x:c r="E80" s="41" t="str">
        <x:f>IFERROR(VLOOKUP(B80,Karyawan!$A:$L,3,FALSE),"")</x:f>
      </x:c>
      <x:c r="F80" s="41" t="n">
        <x:f>IFERROR(VLOOKUP(B80,Karyawan!$A:$L,8,FALSE),0)</x:f>
        <x:v>0</x:v>
      </x:c>
      <x:c r="G80" s="41" t="str">
        <x:f>IFERROR(VLOOKUP(B80,Karyawan!$A:$L,6,FALSE),"")</x:f>
      </x:c>
      <x:c r="H80" s="41" t="str">
        <x:f>IFERROR(VLOOKUP(B80,Karyawan!$A:$L,4,FALSE),"")</x:f>
      </x:c>
      <x:c r="I80" s="41" t="str">
        <x:f>IFERROR(VLOOKUP(B80,Karyawan!$A:$L,5,FALSE),"")</x:f>
      </x:c>
      <x:c r="J80" s="41" t="n">
        <x:f>24</x:f>
        <x:v>24</x:v>
      </x:c>
      <x:c r="K80" s="41" t="n">
        <x:f>24</x:f>
        <x:v>24</x:v>
      </x:c>
      <x:c r="L80" s="41" t="n">
        <x:f>0</x:f>
        <x:v>0</x:v>
      </x:c>
      <x:c r="M80" s="41" t="n">
        <x:f>0</x:f>
        <x:v>0</x:v>
      </x:c>
      <x:c r="N80" s="41" t="n">
        <x:f>0</x:f>
        <x:v>0</x:v>
      </x:c>
      <x:c r="O80" s="41" t="n">
        <x:f>0</x:f>
        <x:v>0</x:v>
      </x:c>
      <x:c r="P80" s="48" t="n">
        <x:f>IFERROR(VLOOKUP(G80,Golongan!$B:$E,2,FALSE),0)</x:f>
        <x:v>0</x:v>
      </x:c>
      <x:c r="Q80" s="48" t="n">
        <x:f>IFERROR(VLOOKUP(I80,Jabatan!$B:$E,3,FALSE),0)</x:f>
        <x:v>0</x:v>
      </x:c>
      <x:c r="R80" s="48" t="n">
        <x:f>IF(J80&gt;0,IF(K80&gt;=J80,IFERROR(VLOOKUP(G80,Golongan!$B:$E,4,FALSE),0),K80*IFERROR(VLOOKUP(G80,Golongan!$B:$E,3,FALSE),0)),0)</x:f>
        <x:v>0</x:v>
      </x:c>
      <x:c r="S80" s="48" t="n">
        <x:f>IFERROR(VLOOKUP(I80,Jabatan!$B:$E,4,FALSE),0)</x:f>
        <x:v>0</x:v>
      </x:c>
      <x:c r="T80" s="48" t="n">
        <x:f>F80*IFERROR(VLOOKUP("Tunjangan Masa Kerja / Tahun",Komponen!$A:$E,5,FALSE),0)</x:f>
        <x:v>0</x:v>
      </x:c>
      <x:c r="U80" s="48" t="n">
        <x:f>SUMIF(Lembur!$L$2:$L$501,A80&amp;"|"&amp;B80,Lembur!$I$2:$I$501)</x:f>
        <x:v>0</x:v>
      </x:c>
      <x:c r="V80" s="48" t="n">
        <x:f>K80*IFERROR(VLOOKUP("Uang Makan / Hari",Komponen!$A:$E,5,FALSE),0)</x:f>
        <x:v>0</x:v>
      </x:c>
      <x:c r="W80" s="48" t="n">
        <x:f>0</x:f>
        <x:v>0</x:v>
      </x:c>
      <x:c r="X80" s="48" t="n">
        <x:f>SUM(P80:W80)</x:f>
        <x:v>0</x:v>
      </x:c>
      <x:c r="Y80" s="48" t="n">
        <x:f>O80*IFERROR(VLOOKUP("Potongan Alpha",Komponen!$A:$E,5,FALSE),0)</x:f>
        <x:v>0</x:v>
      </x:c>
      <x:c r="Z80" s="48" t="n">
        <x:f>L80*IFERROR(VLOOKUP("Potongan Telat",Komponen!$A:$E,5,FALSE),0)</x:f>
        <x:v>0</x:v>
      </x:c>
      <x:c r="AA80" s="48" t="n">
        <x:f>0</x:f>
        <x:v>0</x:v>
      </x:c>
      <x:c r="AB80" s="48" t="n">
        <x:f>SUM(Y80:AA80)</x:f>
        <x:v>0</x:v>
      </x:c>
      <x:c r="AC80" s="48" t="n">
        <x:f>0</x:f>
        <x:v>0</x:v>
      </x:c>
      <x:c r="AD80" s="48" t="n">
        <x:f>X80-AB80+AC80</x:f>
        <x:v>0</x:v>
      </x:c>
      <x:c r="AE80" s="41" t="str">
        <x:f>IFERROR(VLOOKUP(B80,Karyawan!$A:$L,10,FALSE),"")</x:f>
      </x:c>
      <x:c r="AF80" s="41" t="str">
        <x:f>IF(AD80&lt;=0,"Cek gaji bersih",IF(P80&lt;=0,"Cek gaji pokok",IF(H80="","Cek jabatan",IF(G80="","Cek golongan","OK"))))</x:f>
        <x:v>Cek gaji bersih</x:v>
      </x:c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 t="n">
        <x:f>B81</x:f>
        <x:v>0</x:v>
      </x:c>
      <x:c r="D81" s="41" t="str">
        <x:f>IFERROR(VLOOKUP(B81,Karyawan!$A:$L,2,FALSE),"")</x:f>
      </x:c>
      <x:c r="E81" s="41" t="str">
        <x:f>IFERROR(VLOOKUP(B81,Karyawan!$A:$L,3,FALSE),"")</x:f>
      </x:c>
      <x:c r="F81" s="41" t="n">
        <x:f>IFERROR(VLOOKUP(B81,Karyawan!$A:$L,8,FALSE),0)</x:f>
        <x:v>0</x:v>
      </x:c>
      <x:c r="G81" s="41" t="str">
        <x:f>IFERROR(VLOOKUP(B81,Karyawan!$A:$L,6,FALSE),"")</x:f>
      </x:c>
      <x:c r="H81" s="41" t="str">
        <x:f>IFERROR(VLOOKUP(B81,Karyawan!$A:$L,4,FALSE),"")</x:f>
      </x:c>
      <x:c r="I81" s="41" t="str">
        <x:f>IFERROR(VLOOKUP(B81,Karyawan!$A:$L,5,FALSE),"")</x:f>
      </x:c>
      <x:c r="J81" s="41" t="n">
        <x:f>24</x:f>
        <x:v>24</x:v>
      </x:c>
      <x:c r="K81" s="41" t="n">
        <x:f>24</x:f>
        <x:v>24</x:v>
      </x:c>
      <x:c r="L81" s="41" t="n">
        <x:f>0</x:f>
        <x:v>0</x:v>
      </x:c>
      <x:c r="M81" s="41" t="n">
        <x:f>0</x:f>
        <x:v>0</x:v>
      </x:c>
      <x:c r="N81" s="41" t="n">
        <x:f>0</x:f>
        <x:v>0</x:v>
      </x:c>
      <x:c r="O81" s="41" t="n">
        <x:f>0</x:f>
        <x:v>0</x:v>
      </x:c>
      <x:c r="P81" s="48" t="n">
        <x:f>IFERROR(VLOOKUP(G81,Golongan!$B:$E,2,FALSE),0)</x:f>
        <x:v>0</x:v>
      </x:c>
      <x:c r="Q81" s="48" t="n">
        <x:f>IFERROR(VLOOKUP(I81,Jabatan!$B:$E,3,FALSE),0)</x:f>
        <x:v>0</x:v>
      </x:c>
      <x:c r="R81" s="48" t="n">
        <x:f>IF(J81&gt;0,IF(K81&gt;=J81,IFERROR(VLOOKUP(G81,Golongan!$B:$E,4,FALSE),0),K81*IFERROR(VLOOKUP(G81,Golongan!$B:$E,3,FALSE),0)),0)</x:f>
        <x:v>0</x:v>
      </x:c>
      <x:c r="S81" s="48" t="n">
        <x:f>IFERROR(VLOOKUP(I81,Jabatan!$B:$E,4,FALSE),0)</x:f>
        <x:v>0</x:v>
      </x:c>
      <x:c r="T81" s="48" t="n">
        <x:f>F81*IFERROR(VLOOKUP("Tunjangan Masa Kerja / Tahun",Komponen!$A:$E,5,FALSE),0)</x:f>
        <x:v>0</x:v>
      </x:c>
      <x:c r="U81" s="48" t="n">
        <x:f>SUMIF(Lembur!$L$2:$L$501,A81&amp;"|"&amp;B81,Lembur!$I$2:$I$501)</x:f>
        <x:v>0</x:v>
      </x:c>
      <x:c r="V81" s="48" t="n">
        <x:f>K81*IFERROR(VLOOKUP("Uang Makan / Hari",Komponen!$A:$E,5,FALSE),0)</x:f>
        <x:v>0</x:v>
      </x:c>
      <x:c r="W81" s="48" t="n">
        <x:f>0</x:f>
        <x:v>0</x:v>
      </x:c>
      <x:c r="X81" s="48" t="n">
        <x:f>SUM(P81:W81)</x:f>
        <x:v>0</x:v>
      </x:c>
      <x:c r="Y81" s="48" t="n">
        <x:f>O81*IFERROR(VLOOKUP("Potongan Alpha",Komponen!$A:$E,5,FALSE),0)</x:f>
        <x:v>0</x:v>
      </x:c>
      <x:c r="Z81" s="48" t="n">
        <x:f>L81*IFERROR(VLOOKUP("Potongan Telat",Komponen!$A:$E,5,FALSE),0)</x:f>
        <x:v>0</x:v>
      </x:c>
      <x:c r="AA81" s="48" t="n">
        <x:f>0</x:f>
        <x:v>0</x:v>
      </x:c>
      <x:c r="AB81" s="48" t="n">
        <x:f>SUM(Y81:AA81)</x:f>
        <x:v>0</x:v>
      </x:c>
      <x:c r="AC81" s="48" t="n">
        <x:f>0</x:f>
        <x:v>0</x:v>
      </x:c>
      <x:c r="AD81" s="48" t="n">
        <x:f>X81-AB81+AC81</x:f>
        <x:v>0</x:v>
      </x:c>
      <x:c r="AE81" s="41" t="str">
        <x:f>IFERROR(VLOOKUP(B81,Karyawan!$A:$L,10,FALSE),"")</x:f>
      </x:c>
      <x:c r="AF81" s="41" t="str">
        <x:f>IF(AD81&lt;=0,"Cek gaji bersih",IF(P81&lt;=0,"Cek gaji pokok",IF(H81="","Cek jabatan",IF(G81="","Cek golongan","OK"))))</x:f>
        <x:v>Cek gaji bersih</x:v>
      </x:c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 t="n">
        <x:f>B82</x:f>
        <x:v>0</x:v>
      </x:c>
      <x:c r="D82" s="41" t="str">
        <x:f>IFERROR(VLOOKUP(B82,Karyawan!$A:$L,2,FALSE),"")</x:f>
      </x:c>
      <x:c r="E82" s="41" t="str">
        <x:f>IFERROR(VLOOKUP(B82,Karyawan!$A:$L,3,FALSE),"")</x:f>
      </x:c>
      <x:c r="F82" s="41" t="n">
        <x:f>IFERROR(VLOOKUP(B82,Karyawan!$A:$L,8,FALSE),0)</x:f>
        <x:v>0</x:v>
      </x:c>
      <x:c r="G82" s="41" t="str">
        <x:f>IFERROR(VLOOKUP(B82,Karyawan!$A:$L,6,FALSE),"")</x:f>
      </x:c>
      <x:c r="H82" s="41" t="str">
        <x:f>IFERROR(VLOOKUP(B82,Karyawan!$A:$L,4,FALSE),"")</x:f>
      </x:c>
      <x:c r="I82" s="41" t="str">
        <x:f>IFERROR(VLOOKUP(B82,Karyawan!$A:$L,5,FALSE),"")</x:f>
      </x:c>
      <x:c r="J82" s="41" t="n">
        <x:f>24</x:f>
        <x:v>24</x:v>
      </x:c>
      <x:c r="K82" s="41" t="n">
        <x:f>24</x:f>
        <x:v>24</x:v>
      </x:c>
      <x:c r="L82" s="41" t="n">
        <x:f>0</x:f>
        <x:v>0</x:v>
      </x:c>
      <x:c r="M82" s="41" t="n">
        <x:f>0</x:f>
        <x:v>0</x:v>
      </x:c>
      <x:c r="N82" s="41" t="n">
        <x:f>0</x:f>
        <x:v>0</x:v>
      </x:c>
      <x:c r="O82" s="41" t="n">
        <x:f>0</x:f>
        <x:v>0</x:v>
      </x:c>
      <x:c r="P82" s="48" t="n">
        <x:f>IFERROR(VLOOKUP(G82,Golongan!$B:$E,2,FALSE),0)</x:f>
        <x:v>0</x:v>
      </x:c>
      <x:c r="Q82" s="48" t="n">
        <x:f>IFERROR(VLOOKUP(I82,Jabatan!$B:$E,3,FALSE),0)</x:f>
        <x:v>0</x:v>
      </x:c>
      <x:c r="R82" s="48" t="n">
        <x:f>IF(J82&gt;0,IF(K82&gt;=J82,IFERROR(VLOOKUP(G82,Golongan!$B:$E,4,FALSE),0),K82*IFERROR(VLOOKUP(G82,Golongan!$B:$E,3,FALSE),0)),0)</x:f>
        <x:v>0</x:v>
      </x:c>
      <x:c r="S82" s="48" t="n">
        <x:f>IFERROR(VLOOKUP(I82,Jabatan!$B:$E,4,FALSE),0)</x:f>
        <x:v>0</x:v>
      </x:c>
      <x:c r="T82" s="48" t="n">
        <x:f>F82*IFERROR(VLOOKUP("Tunjangan Masa Kerja / Tahun",Komponen!$A:$E,5,FALSE),0)</x:f>
        <x:v>0</x:v>
      </x:c>
      <x:c r="U82" s="48" t="n">
        <x:f>SUMIF(Lembur!$L$2:$L$501,A82&amp;"|"&amp;B82,Lembur!$I$2:$I$501)</x:f>
        <x:v>0</x:v>
      </x:c>
      <x:c r="V82" s="48" t="n">
        <x:f>K82*IFERROR(VLOOKUP("Uang Makan / Hari",Komponen!$A:$E,5,FALSE),0)</x:f>
        <x:v>0</x:v>
      </x:c>
      <x:c r="W82" s="48" t="n">
        <x:f>0</x:f>
        <x:v>0</x:v>
      </x:c>
      <x:c r="X82" s="48" t="n">
        <x:f>SUM(P82:W82)</x:f>
        <x:v>0</x:v>
      </x:c>
      <x:c r="Y82" s="48" t="n">
        <x:f>O82*IFERROR(VLOOKUP("Potongan Alpha",Komponen!$A:$E,5,FALSE),0)</x:f>
        <x:v>0</x:v>
      </x:c>
      <x:c r="Z82" s="48" t="n">
        <x:f>L82*IFERROR(VLOOKUP("Potongan Telat",Komponen!$A:$E,5,FALSE),0)</x:f>
        <x:v>0</x:v>
      </x:c>
      <x:c r="AA82" s="48" t="n">
        <x:f>0</x:f>
        <x:v>0</x:v>
      </x:c>
      <x:c r="AB82" s="48" t="n">
        <x:f>SUM(Y82:AA82)</x:f>
        <x:v>0</x:v>
      </x:c>
      <x:c r="AC82" s="48" t="n">
        <x:f>0</x:f>
        <x:v>0</x:v>
      </x:c>
      <x:c r="AD82" s="48" t="n">
        <x:f>X82-AB82+AC82</x:f>
        <x:v>0</x:v>
      </x:c>
      <x:c r="AE82" s="41" t="str">
        <x:f>IFERROR(VLOOKUP(B82,Karyawan!$A:$L,10,FALSE),"")</x:f>
      </x:c>
      <x:c r="AF82" s="41" t="str">
        <x:f>IF(AD82&lt;=0,"Cek gaji bersih",IF(P82&lt;=0,"Cek gaji pokok",IF(H82="","Cek jabatan",IF(G82="","Cek golongan","OK"))))</x:f>
        <x:v>Cek gaji bersih</x:v>
      </x:c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 t="n">
        <x:f>B83</x:f>
        <x:v>0</x:v>
      </x:c>
      <x:c r="D83" s="41" t="str">
        <x:f>IFERROR(VLOOKUP(B83,Karyawan!$A:$L,2,FALSE),"")</x:f>
      </x:c>
      <x:c r="E83" s="41" t="str">
        <x:f>IFERROR(VLOOKUP(B83,Karyawan!$A:$L,3,FALSE),"")</x:f>
      </x:c>
      <x:c r="F83" s="41" t="n">
        <x:f>IFERROR(VLOOKUP(B83,Karyawan!$A:$L,8,FALSE),0)</x:f>
        <x:v>0</x:v>
      </x:c>
      <x:c r="G83" s="41" t="str">
        <x:f>IFERROR(VLOOKUP(B83,Karyawan!$A:$L,6,FALSE),"")</x:f>
      </x:c>
      <x:c r="H83" s="41" t="str">
        <x:f>IFERROR(VLOOKUP(B83,Karyawan!$A:$L,4,FALSE),"")</x:f>
      </x:c>
      <x:c r="I83" s="41" t="str">
        <x:f>IFERROR(VLOOKUP(B83,Karyawan!$A:$L,5,FALSE),"")</x:f>
      </x:c>
      <x:c r="J83" s="41" t="n">
        <x:f>24</x:f>
        <x:v>24</x:v>
      </x:c>
      <x:c r="K83" s="41" t="n">
        <x:f>24</x:f>
        <x:v>24</x:v>
      </x:c>
      <x:c r="L83" s="41" t="n">
        <x:f>0</x:f>
        <x:v>0</x:v>
      </x:c>
      <x:c r="M83" s="41" t="n">
        <x:f>0</x:f>
        <x:v>0</x:v>
      </x:c>
      <x:c r="N83" s="41" t="n">
        <x:f>0</x:f>
        <x:v>0</x:v>
      </x:c>
      <x:c r="O83" s="41" t="n">
        <x:f>0</x:f>
        <x:v>0</x:v>
      </x:c>
      <x:c r="P83" s="48" t="n">
        <x:f>IFERROR(VLOOKUP(G83,Golongan!$B:$E,2,FALSE),0)</x:f>
        <x:v>0</x:v>
      </x:c>
      <x:c r="Q83" s="48" t="n">
        <x:f>IFERROR(VLOOKUP(I83,Jabatan!$B:$E,3,FALSE),0)</x:f>
        <x:v>0</x:v>
      </x:c>
      <x:c r="R83" s="48" t="n">
        <x:f>IF(J83&gt;0,IF(K83&gt;=J83,IFERROR(VLOOKUP(G83,Golongan!$B:$E,4,FALSE),0),K83*IFERROR(VLOOKUP(G83,Golongan!$B:$E,3,FALSE),0)),0)</x:f>
        <x:v>0</x:v>
      </x:c>
      <x:c r="S83" s="48" t="n">
        <x:f>IFERROR(VLOOKUP(I83,Jabatan!$B:$E,4,FALSE),0)</x:f>
        <x:v>0</x:v>
      </x:c>
      <x:c r="T83" s="48" t="n">
        <x:f>F83*IFERROR(VLOOKUP("Tunjangan Masa Kerja / Tahun",Komponen!$A:$E,5,FALSE),0)</x:f>
        <x:v>0</x:v>
      </x:c>
      <x:c r="U83" s="48" t="n">
        <x:f>SUMIF(Lembur!$L$2:$L$501,A83&amp;"|"&amp;B83,Lembur!$I$2:$I$501)</x:f>
        <x:v>0</x:v>
      </x:c>
      <x:c r="V83" s="48" t="n">
        <x:f>K83*IFERROR(VLOOKUP("Uang Makan / Hari",Komponen!$A:$E,5,FALSE),0)</x:f>
        <x:v>0</x:v>
      </x:c>
      <x:c r="W83" s="48" t="n">
        <x:f>0</x:f>
        <x:v>0</x:v>
      </x:c>
      <x:c r="X83" s="48" t="n">
        <x:f>SUM(P83:W83)</x:f>
        <x:v>0</x:v>
      </x:c>
      <x:c r="Y83" s="48" t="n">
        <x:f>O83*IFERROR(VLOOKUP("Potongan Alpha",Komponen!$A:$E,5,FALSE),0)</x:f>
        <x:v>0</x:v>
      </x:c>
      <x:c r="Z83" s="48" t="n">
        <x:f>L83*IFERROR(VLOOKUP("Potongan Telat",Komponen!$A:$E,5,FALSE),0)</x:f>
        <x:v>0</x:v>
      </x:c>
      <x:c r="AA83" s="48" t="n">
        <x:f>0</x:f>
        <x:v>0</x:v>
      </x:c>
      <x:c r="AB83" s="48" t="n">
        <x:f>SUM(Y83:AA83)</x:f>
        <x:v>0</x:v>
      </x:c>
      <x:c r="AC83" s="48" t="n">
        <x:f>0</x:f>
        <x:v>0</x:v>
      </x:c>
      <x:c r="AD83" s="48" t="n">
        <x:f>X83-AB83+AC83</x:f>
        <x:v>0</x:v>
      </x:c>
      <x:c r="AE83" s="41" t="str">
        <x:f>IFERROR(VLOOKUP(B83,Karyawan!$A:$L,10,FALSE),"")</x:f>
      </x:c>
      <x:c r="AF83" s="41" t="str">
        <x:f>IF(AD83&lt;=0,"Cek gaji bersih",IF(P83&lt;=0,"Cek gaji pokok",IF(H83="","Cek jabatan",IF(G83="","Cek golongan","OK"))))</x:f>
        <x:v>Cek gaji bersih</x:v>
      </x:c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 t="n">
        <x:f>B84</x:f>
        <x:v>0</x:v>
      </x:c>
      <x:c r="D84" s="41" t="str">
        <x:f>IFERROR(VLOOKUP(B84,Karyawan!$A:$L,2,FALSE),"")</x:f>
      </x:c>
      <x:c r="E84" s="41" t="str">
        <x:f>IFERROR(VLOOKUP(B84,Karyawan!$A:$L,3,FALSE),"")</x:f>
      </x:c>
      <x:c r="F84" s="41" t="n">
        <x:f>IFERROR(VLOOKUP(B84,Karyawan!$A:$L,8,FALSE),0)</x:f>
        <x:v>0</x:v>
      </x:c>
      <x:c r="G84" s="41" t="str">
        <x:f>IFERROR(VLOOKUP(B84,Karyawan!$A:$L,6,FALSE),"")</x:f>
      </x:c>
      <x:c r="H84" s="41" t="str">
        <x:f>IFERROR(VLOOKUP(B84,Karyawan!$A:$L,4,FALSE),"")</x:f>
      </x:c>
      <x:c r="I84" s="41" t="str">
        <x:f>IFERROR(VLOOKUP(B84,Karyawan!$A:$L,5,FALSE),"")</x:f>
      </x:c>
      <x:c r="J84" s="41" t="n">
        <x:f>24</x:f>
        <x:v>24</x:v>
      </x:c>
      <x:c r="K84" s="41" t="n">
        <x:f>24</x:f>
        <x:v>24</x:v>
      </x:c>
      <x:c r="L84" s="41" t="n">
        <x:f>0</x:f>
        <x:v>0</x:v>
      </x:c>
      <x:c r="M84" s="41" t="n">
        <x:f>0</x:f>
        <x:v>0</x:v>
      </x:c>
      <x:c r="N84" s="41" t="n">
        <x:f>0</x:f>
        <x:v>0</x:v>
      </x:c>
      <x:c r="O84" s="41" t="n">
        <x:f>0</x:f>
        <x:v>0</x:v>
      </x:c>
      <x:c r="P84" s="48" t="n">
        <x:f>IFERROR(VLOOKUP(G84,Golongan!$B:$E,2,FALSE),0)</x:f>
        <x:v>0</x:v>
      </x:c>
      <x:c r="Q84" s="48" t="n">
        <x:f>IFERROR(VLOOKUP(I84,Jabatan!$B:$E,3,FALSE),0)</x:f>
        <x:v>0</x:v>
      </x:c>
      <x:c r="R84" s="48" t="n">
        <x:f>IF(J84&gt;0,IF(K84&gt;=J84,IFERROR(VLOOKUP(G84,Golongan!$B:$E,4,FALSE),0),K84*IFERROR(VLOOKUP(G84,Golongan!$B:$E,3,FALSE),0)),0)</x:f>
        <x:v>0</x:v>
      </x:c>
      <x:c r="S84" s="48" t="n">
        <x:f>IFERROR(VLOOKUP(I84,Jabatan!$B:$E,4,FALSE),0)</x:f>
        <x:v>0</x:v>
      </x:c>
      <x:c r="T84" s="48" t="n">
        <x:f>F84*IFERROR(VLOOKUP("Tunjangan Masa Kerja / Tahun",Komponen!$A:$E,5,FALSE),0)</x:f>
        <x:v>0</x:v>
      </x:c>
      <x:c r="U84" s="48" t="n">
        <x:f>SUMIF(Lembur!$L$2:$L$501,A84&amp;"|"&amp;B84,Lembur!$I$2:$I$501)</x:f>
        <x:v>0</x:v>
      </x:c>
      <x:c r="V84" s="48" t="n">
        <x:f>K84*IFERROR(VLOOKUP("Uang Makan / Hari",Komponen!$A:$E,5,FALSE),0)</x:f>
        <x:v>0</x:v>
      </x:c>
      <x:c r="W84" s="48" t="n">
        <x:f>0</x:f>
        <x:v>0</x:v>
      </x:c>
      <x:c r="X84" s="48" t="n">
        <x:f>SUM(P84:W84)</x:f>
        <x:v>0</x:v>
      </x:c>
      <x:c r="Y84" s="48" t="n">
        <x:f>O84*IFERROR(VLOOKUP("Potongan Alpha",Komponen!$A:$E,5,FALSE),0)</x:f>
        <x:v>0</x:v>
      </x:c>
      <x:c r="Z84" s="48" t="n">
        <x:f>L84*IFERROR(VLOOKUP("Potongan Telat",Komponen!$A:$E,5,FALSE),0)</x:f>
        <x:v>0</x:v>
      </x:c>
      <x:c r="AA84" s="48" t="n">
        <x:f>0</x:f>
        <x:v>0</x:v>
      </x:c>
      <x:c r="AB84" s="48" t="n">
        <x:f>SUM(Y84:AA84)</x:f>
        <x:v>0</x:v>
      </x:c>
      <x:c r="AC84" s="48" t="n">
        <x:f>0</x:f>
        <x:v>0</x:v>
      </x:c>
      <x:c r="AD84" s="48" t="n">
        <x:f>X84-AB84+AC84</x:f>
        <x:v>0</x:v>
      </x:c>
      <x:c r="AE84" s="41" t="str">
        <x:f>IFERROR(VLOOKUP(B84,Karyawan!$A:$L,10,FALSE),"")</x:f>
      </x:c>
      <x:c r="AF84" s="41" t="str">
        <x:f>IF(AD84&lt;=0,"Cek gaji bersih",IF(P84&lt;=0,"Cek gaji pokok",IF(H84="","Cek jabatan",IF(G84="","Cek golongan","OK"))))</x:f>
        <x:v>Cek gaji bersih</x:v>
      </x:c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 t="n">
        <x:f>B85</x:f>
        <x:v>0</x:v>
      </x:c>
      <x:c r="D85" s="41" t="str">
        <x:f>IFERROR(VLOOKUP(B85,Karyawan!$A:$L,2,FALSE),"")</x:f>
      </x:c>
      <x:c r="E85" s="41" t="str">
        <x:f>IFERROR(VLOOKUP(B85,Karyawan!$A:$L,3,FALSE),"")</x:f>
      </x:c>
      <x:c r="F85" s="41" t="n">
        <x:f>IFERROR(VLOOKUP(B85,Karyawan!$A:$L,8,FALSE),0)</x:f>
        <x:v>0</x:v>
      </x:c>
      <x:c r="G85" s="41" t="str">
        <x:f>IFERROR(VLOOKUP(B85,Karyawan!$A:$L,6,FALSE),"")</x:f>
      </x:c>
      <x:c r="H85" s="41" t="str">
        <x:f>IFERROR(VLOOKUP(B85,Karyawan!$A:$L,4,FALSE),"")</x:f>
      </x:c>
      <x:c r="I85" s="41" t="str">
        <x:f>IFERROR(VLOOKUP(B85,Karyawan!$A:$L,5,FALSE),"")</x:f>
      </x:c>
      <x:c r="J85" s="41" t="n">
        <x:f>24</x:f>
        <x:v>24</x:v>
      </x:c>
      <x:c r="K85" s="41" t="n">
        <x:f>24</x:f>
        <x:v>24</x:v>
      </x:c>
      <x:c r="L85" s="41" t="n">
        <x:f>0</x:f>
        <x:v>0</x:v>
      </x:c>
      <x:c r="M85" s="41" t="n">
        <x:f>0</x:f>
        <x:v>0</x:v>
      </x:c>
      <x:c r="N85" s="41" t="n">
        <x:f>0</x:f>
        <x:v>0</x:v>
      </x:c>
      <x:c r="O85" s="41" t="n">
        <x:f>0</x:f>
        <x:v>0</x:v>
      </x:c>
      <x:c r="P85" s="48" t="n">
        <x:f>IFERROR(VLOOKUP(G85,Golongan!$B:$E,2,FALSE),0)</x:f>
        <x:v>0</x:v>
      </x:c>
      <x:c r="Q85" s="48" t="n">
        <x:f>IFERROR(VLOOKUP(I85,Jabatan!$B:$E,3,FALSE),0)</x:f>
        <x:v>0</x:v>
      </x:c>
      <x:c r="R85" s="48" t="n">
        <x:f>IF(J85&gt;0,IF(K85&gt;=J85,IFERROR(VLOOKUP(G85,Golongan!$B:$E,4,FALSE),0),K85*IFERROR(VLOOKUP(G85,Golongan!$B:$E,3,FALSE),0)),0)</x:f>
        <x:v>0</x:v>
      </x:c>
      <x:c r="S85" s="48" t="n">
        <x:f>IFERROR(VLOOKUP(I85,Jabatan!$B:$E,4,FALSE),0)</x:f>
        <x:v>0</x:v>
      </x:c>
      <x:c r="T85" s="48" t="n">
        <x:f>F85*IFERROR(VLOOKUP("Tunjangan Masa Kerja / Tahun",Komponen!$A:$E,5,FALSE),0)</x:f>
        <x:v>0</x:v>
      </x:c>
      <x:c r="U85" s="48" t="n">
        <x:f>SUMIF(Lembur!$L$2:$L$501,A85&amp;"|"&amp;B85,Lembur!$I$2:$I$501)</x:f>
        <x:v>0</x:v>
      </x:c>
      <x:c r="V85" s="48" t="n">
        <x:f>K85*IFERROR(VLOOKUP("Uang Makan / Hari",Komponen!$A:$E,5,FALSE),0)</x:f>
        <x:v>0</x:v>
      </x:c>
      <x:c r="W85" s="48" t="n">
        <x:f>0</x:f>
        <x:v>0</x:v>
      </x:c>
      <x:c r="X85" s="48" t="n">
        <x:f>SUM(P85:W85)</x:f>
        <x:v>0</x:v>
      </x:c>
      <x:c r="Y85" s="48" t="n">
        <x:f>O85*IFERROR(VLOOKUP("Potongan Alpha",Komponen!$A:$E,5,FALSE),0)</x:f>
        <x:v>0</x:v>
      </x:c>
      <x:c r="Z85" s="48" t="n">
        <x:f>L85*IFERROR(VLOOKUP("Potongan Telat",Komponen!$A:$E,5,FALSE),0)</x:f>
        <x:v>0</x:v>
      </x:c>
      <x:c r="AA85" s="48" t="n">
        <x:f>0</x:f>
        <x:v>0</x:v>
      </x:c>
      <x:c r="AB85" s="48" t="n">
        <x:f>SUM(Y85:AA85)</x:f>
        <x:v>0</x:v>
      </x:c>
      <x:c r="AC85" s="48" t="n">
        <x:f>0</x:f>
        <x:v>0</x:v>
      </x:c>
      <x:c r="AD85" s="48" t="n">
        <x:f>X85-AB85+AC85</x:f>
        <x:v>0</x:v>
      </x:c>
      <x:c r="AE85" s="41" t="str">
        <x:f>IFERROR(VLOOKUP(B85,Karyawan!$A:$L,10,FALSE),"")</x:f>
      </x:c>
      <x:c r="AF85" s="41" t="str">
        <x:f>IF(AD85&lt;=0,"Cek gaji bersih",IF(P85&lt;=0,"Cek gaji pokok",IF(H85="","Cek jabatan",IF(G85="","Cek golongan","OK"))))</x:f>
        <x:v>Cek gaji bersih</x:v>
      </x:c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 t="n">
        <x:f>B86</x:f>
        <x:v>0</x:v>
      </x:c>
      <x:c r="D86" s="41" t="str">
        <x:f>IFERROR(VLOOKUP(B86,Karyawan!$A:$L,2,FALSE),"")</x:f>
      </x:c>
      <x:c r="E86" s="41" t="str">
        <x:f>IFERROR(VLOOKUP(B86,Karyawan!$A:$L,3,FALSE),"")</x:f>
      </x:c>
      <x:c r="F86" s="41" t="n">
        <x:f>IFERROR(VLOOKUP(B86,Karyawan!$A:$L,8,FALSE),0)</x:f>
        <x:v>0</x:v>
      </x:c>
      <x:c r="G86" s="41" t="str">
        <x:f>IFERROR(VLOOKUP(B86,Karyawan!$A:$L,6,FALSE),"")</x:f>
      </x:c>
      <x:c r="H86" s="41" t="str">
        <x:f>IFERROR(VLOOKUP(B86,Karyawan!$A:$L,4,FALSE),"")</x:f>
      </x:c>
      <x:c r="I86" s="41" t="str">
        <x:f>IFERROR(VLOOKUP(B86,Karyawan!$A:$L,5,FALSE),"")</x:f>
      </x:c>
      <x:c r="J86" s="41" t="n">
        <x:f>24</x:f>
        <x:v>24</x:v>
      </x:c>
      <x:c r="K86" s="41" t="n">
        <x:f>24</x:f>
        <x:v>24</x:v>
      </x:c>
      <x:c r="L86" s="41" t="n">
        <x:f>0</x:f>
        <x:v>0</x:v>
      </x:c>
      <x:c r="M86" s="41" t="n">
        <x:f>0</x:f>
        <x:v>0</x:v>
      </x:c>
      <x:c r="N86" s="41" t="n">
        <x:f>0</x:f>
        <x:v>0</x:v>
      </x:c>
      <x:c r="O86" s="41" t="n">
        <x:f>0</x:f>
        <x:v>0</x:v>
      </x:c>
      <x:c r="P86" s="48" t="n">
        <x:f>IFERROR(VLOOKUP(G86,Golongan!$B:$E,2,FALSE),0)</x:f>
        <x:v>0</x:v>
      </x:c>
      <x:c r="Q86" s="48" t="n">
        <x:f>IFERROR(VLOOKUP(I86,Jabatan!$B:$E,3,FALSE),0)</x:f>
        <x:v>0</x:v>
      </x:c>
      <x:c r="R86" s="48" t="n">
        <x:f>IF(J86&gt;0,IF(K86&gt;=J86,IFERROR(VLOOKUP(G86,Golongan!$B:$E,4,FALSE),0),K86*IFERROR(VLOOKUP(G86,Golongan!$B:$E,3,FALSE),0)),0)</x:f>
        <x:v>0</x:v>
      </x:c>
      <x:c r="S86" s="48" t="n">
        <x:f>IFERROR(VLOOKUP(I86,Jabatan!$B:$E,4,FALSE),0)</x:f>
        <x:v>0</x:v>
      </x:c>
      <x:c r="T86" s="48" t="n">
        <x:f>F86*IFERROR(VLOOKUP("Tunjangan Masa Kerja / Tahun",Komponen!$A:$E,5,FALSE),0)</x:f>
        <x:v>0</x:v>
      </x:c>
      <x:c r="U86" s="48" t="n">
        <x:f>SUMIF(Lembur!$L$2:$L$501,A86&amp;"|"&amp;B86,Lembur!$I$2:$I$501)</x:f>
        <x:v>0</x:v>
      </x:c>
      <x:c r="V86" s="48" t="n">
        <x:f>K86*IFERROR(VLOOKUP("Uang Makan / Hari",Komponen!$A:$E,5,FALSE),0)</x:f>
        <x:v>0</x:v>
      </x:c>
      <x:c r="W86" s="48" t="n">
        <x:f>0</x:f>
        <x:v>0</x:v>
      </x:c>
      <x:c r="X86" s="48" t="n">
        <x:f>SUM(P86:W86)</x:f>
        <x:v>0</x:v>
      </x:c>
      <x:c r="Y86" s="48" t="n">
        <x:f>O86*IFERROR(VLOOKUP("Potongan Alpha",Komponen!$A:$E,5,FALSE),0)</x:f>
        <x:v>0</x:v>
      </x:c>
      <x:c r="Z86" s="48" t="n">
        <x:f>L86*IFERROR(VLOOKUP("Potongan Telat",Komponen!$A:$E,5,FALSE),0)</x:f>
        <x:v>0</x:v>
      </x:c>
      <x:c r="AA86" s="48" t="n">
        <x:f>0</x:f>
        <x:v>0</x:v>
      </x:c>
      <x:c r="AB86" s="48" t="n">
        <x:f>SUM(Y86:AA86)</x:f>
        <x:v>0</x:v>
      </x:c>
      <x:c r="AC86" s="48" t="n">
        <x:f>0</x:f>
        <x:v>0</x:v>
      </x:c>
      <x:c r="AD86" s="48" t="n">
        <x:f>X86-AB86+AC86</x:f>
        <x:v>0</x:v>
      </x:c>
      <x:c r="AE86" s="41" t="str">
        <x:f>IFERROR(VLOOKUP(B86,Karyawan!$A:$L,10,FALSE),"")</x:f>
      </x:c>
      <x:c r="AF86" s="41" t="str">
        <x:f>IF(AD86&lt;=0,"Cek gaji bersih",IF(P86&lt;=0,"Cek gaji pokok",IF(H86="","Cek jabatan",IF(G86="","Cek golongan","OK"))))</x:f>
        <x:v>Cek gaji bersih</x:v>
      </x:c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 t="n">
        <x:f>B87</x:f>
        <x:v>0</x:v>
      </x:c>
      <x:c r="D87" s="41" t="str">
        <x:f>IFERROR(VLOOKUP(B87,Karyawan!$A:$L,2,FALSE),"")</x:f>
      </x:c>
      <x:c r="E87" s="41" t="str">
        <x:f>IFERROR(VLOOKUP(B87,Karyawan!$A:$L,3,FALSE),"")</x:f>
      </x:c>
      <x:c r="F87" s="41" t="n">
        <x:f>IFERROR(VLOOKUP(B87,Karyawan!$A:$L,8,FALSE),0)</x:f>
        <x:v>0</x:v>
      </x:c>
      <x:c r="G87" s="41" t="str">
        <x:f>IFERROR(VLOOKUP(B87,Karyawan!$A:$L,6,FALSE),"")</x:f>
      </x:c>
      <x:c r="H87" s="41" t="str">
        <x:f>IFERROR(VLOOKUP(B87,Karyawan!$A:$L,4,FALSE),"")</x:f>
      </x:c>
      <x:c r="I87" s="41" t="str">
        <x:f>IFERROR(VLOOKUP(B87,Karyawan!$A:$L,5,FALSE),"")</x:f>
      </x:c>
      <x:c r="J87" s="41" t="n">
        <x:f>24</x:f>
        <x:v>24</x:v>
      </x:c>
      <x:c r="K87" s="41" t="n">
        <x:f>24</x:f>
        <x:v>24</x:v>
      </x:c>
      <x:c r="L87" s="41" t="n">
        <x:f>0</x:f>
        <x:v>0</x:v>
      </x:c>
      <x:c r="M87" s="41" t="n">
        <x:f>0</x:f>
        <x:v>0</x:v>
      </x:c>
      <x:c r="N87" s="41" t="n">
        <x:f>0</x:f>
        <x:v>0</x:v>
      </x:c>
      <x:c r="O87" s="41" t="n">
        <x:f>0</x:f>
        <x:v>0</x:v>
      </x:c>
      <x:c r="P87" s="48" t="n">
        <x:f>IFERROR(VLOOKUP(G87,Golongan!$B:$E,2,FALSE),0)</x:f>
        <x:v>0</x:v>
      </x:c>
      <x:c r="Q87" s="48" t="n">
        <x:f>IFERROR(VLOOKUP(I87,Jabatan!$B:$E,3,FALSE),0)</x:f>
        <x:v>0</x:v>
      </x:c>
      <x:c r="R87" s="48" t="n">
        <x:f>IF(J87&gt;0,IF(K87&gt;=J87,IFERROR(VLOOKUP(G87,Golongan!$B:$E,4,FALSE),0),K87*IFERROR(VLOOKUP(G87,Golongan!$B:$E,3,FALSE),0)),0)</x:f>
        <x:v>0</x:v>
      </x:c>
      <x:c r="S87" s="48" t="n">
        <x:f>IFERROR(VLOOKUP(I87,Jabatan!$B:$E,4,FALSE),0)</x:f>
        <x:v>0</x:v>
      </x:c>
      <x:c r="T87" s="48" t="n">
        <x:f>F87*IFERROR(VLOOKUP("Tunjangan Masa Kerja / Tahun",Komponen!$A:$E,5,FALSE),0)</x:f>
        <x:v>0</x:v>
      </x:c>
      <x:c r="U87" s="48" t="n">
        <x:f>SUMIF(Lembur!$L$2:$L$501,A87&amp;"|"&amp;B87,Lembur!$I$2:$I$501)</x:f>
        <x:v>0</x:v>
      </x:c>
      <x:c r="V87" s="48" t="n">
        <x:f>K87*IFERROR(VLOOKUP("Uang Makan / Hari",Komponen!$A:$E,5,FALSE),0)</x:f>
        <x:v>0</x:v>
      </x:c>
      <x:c r="W87" s="48" t="n">
        <x:f>0</x:f>
        <x:v>0</x:v>
      </x:c>
      <x:c r="X87" s="48" t="n">
        <x:f>SUM(P87:W87)</x:f>
        <x:v>0</x:v>
      </x:c>
      <x:c r="Y87" s="48" t="n">
        <x:f>O87*IFERROR(VLOOKUP("Potongan Alpha",Komponen!$A:$E,5,FALSE),0)</x:f>
        <x:v>0</x:v>
      </x:c>
      <x:c r="Z87" s="48" t="n">
        <x:f>L87*IFERROR(VLOOKUP("Potongan Telat",Komponen!$A:$E,5,FALSE),0)</x:f>
        <x:v>0</x:v>
      </x:c>
      <x:c r="AA87" s="48" t="n">
        <x:f>0</x:f>
        <x:v>0</x:v>
      </x:c>
      <x:c r="AB87" s="48" t="n">
        <x:f>SUM(Y87:AA87)</x:f>
        <x:v>0</x:v>
      </x:c>
      <x:c r="AC87" s="48" t="n">
        <x:f>0</x:f>
        <x:v>0</x:v>
      </x:c>
      <x:c r="AD87" s="48" t="n">
        <x:f>X87-AB87+AC87</x:f>
        <x:v>0</x:v>
      </x:c>
      <x:c r="AE87" s="41" t="str">
        <x:f>IFERROR(VLOOKUP(B87,Karyawan!$A:$L,10,FALSE),"")</x:f>
      </x:c>
      <x:c r="AF87" s="41" t="str">
        <x:f>IF(AD87&lt;=0,"Cek gaji bersih",IF(P87&lt;=0,"Cek gaji pokok",IF(H87="","Cek jabatan",IF(G87="","Cek golongan","OK"))))</x:f>
        <x:v>Cek gaji bersih</x:v>
      </x:c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 t="n">
        <x:f>B88</x:f>
        <x:v>0</x:v>
      </x:c>
      <x:c r="D88" s="41" t="str">
        <x:f>IFERROR(VLOOKUP(B88,Karyawan!$A:$L,2,FALSE),"")</x:f>
      </x:c>
      <x:c r="E88" s="41" t="str">
        <x:f>IFERROR(VLOOKUP(B88,Karyawan!$A:$L,3,FALSE),"")</x:f>
      </x:c>
      <x:c r="F88" s="41" t="n">
        <x:f>IFERROR(VLOOKUP(B88,Karyawan!$A:$L,8,FALSE),0)</x:f>
        <x:v>0</x:v>
      </x:c>
      <x:c r="G88" s="41" t="str">
        <x:f>IFERROR(VLOOKUP(B88,Karyawan!$A:$L,6,FALSE),"")</x:f>
      </x:c>
      <x:c r="H88" s="41" t="str">
        <x:f>IFERROR(VLOOKUP(B88,Karyawan!$A:$L,4,FALSE),"")</x:f>
      </x:c>
      <x:c r="I88" s="41" t="str">
        <x:f>IFERROR(VLOOKUP(B88,Karyawan!$A:$L,5,FALSE),"")</x:f>
      </x:c>
      <x:c r="J88" s="41" t="n">
        <x:f>24</x:f>
        <x:v>24</x:v>
      </x:c>
      <x:c r="K88" s="41" t="n">
        <x:f>24</x:f>
        <x:v>24</x:v>
      </x:c>
      <x:c r="L88" s="41" t="n">
        <x:f>0</x:f>
        <x:v>0</x:v>
      </x:c>
      <x:c r="M88" s="41" t="n">
        <x:f>0</x:f>
        <x:v>0</x:v>
      </x:c>
      <x:c r="N88" s="41" t="n">
        <x:f>0</x:f>
        <x:v>0</x:v>
      </x:c>
      <x:c r="O88" s="41" t="n">
        <x:f>0</x:f>
        <x:v>0</x:v>
      </x:c>
      <x:c r="P88" s="48" t="n">
        <x:f>IFERROR(VLOOKUP(G88,Golongan!$B:$E,2,FALSE),0)</x:f>
        <x:v>0</x:v>
      </x:c>
      <x:c r="Q88" s="48" t="n">
        <x:f>IFERROR(VLOOKUP(I88,Jabatan!$B:$E,3,FALSE),0)</x:f>
        <x:v>0</x:v>
      </x:c>
      <x:c r="R88" s="48" t="n">
        <x:f>IF(J88&gt;0,IF(K88&gt;=J88,IFERROR(VLOOKUP(G88,Golongan!$B:$E,4,FALSE),0),K88*IFERROR(VLOOKUP(G88,Golongan!$B:$E,3,FALSE),0)),0)</x:f>
        <x:v>0</x:v>
      </x:c>
      <x:c r="S88" s="48" t="n">
        <x:f>IFERROR(VLOOKUP(I88,Jabatan!$B:$E,4,FALSE),0)</x:f>
        <x:v>0</x:v>
      </x:c>
      <x:c r="T88" s="48" t="n">
        <x:f>F88*IFERROR(VLOOKUP("Tunjangan Masa Kerja / Tahun",Komponen!$A:$E,5,FALSE),0)</x:f>
        <x:v>0</x:v>
      </x:c>
      <x:c r="U88" s="48" t="n">
        <x:f>SUMIF(Lembur!$L$2:$L$501,A88&amp;"|"&amp;B88,Lembur!$I$2:$I$501)</x:f>
        <x:v>0</x:v>
      </x:c>
      <x:c r="V88" s="48" t="n">
        <x:f>K88*IFERROR(VLOOKUP("Uang Makan / Hari",Komponen!$A:$E,5,FALSE),0)</x:f>
        <x:v>0</x:v>
      </x:c>
      <x:c r="W88" s="48" t="n">
        <x:f>0</x:f>
        <x:v>0</x:v>
      </x:c>
      <x:c r="X88" s="48" t="n">
        <x:f>SUM(P88:W88)</x:f>
        <x:v>0</x:v>
      </x:c>
      <x:c r="Y88" s="48" t="n">
        <x:f>O88*IFERROR(VLOOKUP("Potongan Alpha",Komponen!$A:$E,5,FALSE),0)</x:f>
        <x:v>0</x:v>
      </x:c>
      <x:c r="Z88" s="48" t="n">
        <x:f>L88*IFERROR(VLOOKUP("Potongan Telat",Komponen!$A:$E,5,FALSE),0)</x:f>
        <x:v>0</x:v>
      </x:c>
      <x:c r="AA88" s="48" t="n">
        <x:f>0</x:f>
        <x:v>0</x:v>
      </x:c>
      <x:c r="AB88" s="48" t="n">
        <x:f>SUM(Y88:AA88)</x:f>
        <x:v>0</x:v>
      </x:c>
      <x:c r="AC88" s="48" t="n">
        <x:f>0</x:f>
        <x:v>0</x:v>
      </x:c>
      <x:c r="AD88" s="48" t="n">
        <x:f>X88-AB88+AC88</x:f>
        <x:v>0</x:v>
      </x:c>
      <x:c r="AE88" s="41" t="str">
        <x:f>IFERROR(VLOOKUP(B88,Karyawan!$A:$L,10,FALSE),"")</x:f>
      </x:c>
      <x:c r="AF88" s="41" t="str">
        <x:f>IF(AD88&lt;=0,"Cek gaji bersih",IF(P88&lt;=0,"Cek gaji pokok",IF(H88="","Cek jabatan",IF(G88="","Cek golongan","OK"))))</x:f>
        <x:v>Cek gaji bersih</x:v>
      </x:c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 t="n">
        <x:f>B89</x:f>
        <x:v>0</x:v>
      </x:c>
      <x:c r="D89" s="41" t="str">
        <x:f>IFERROR(VLOOKUP(B89,Karyawan!$A:$L,2,FALSE),"")</x:f>
      </x:c>
      <x:c r="E89" s="41" t="str">
        <x:f>IFERROR(VLOOKUP(B89,Karyawan!$A:$L,3,FALSE),"")</x:f>
      </x:c>
      <x:c r="F89" s="41" t="n">
        <x:f>IFERROR(VLOOKUP(B89,Karyawan!$A:$L,8,FALSE),0)</x:f>
        <x:v>0</x:v>
      </x:c>
      <x:c r="G89" s="41" t="str">
        <x:f>IFERROR(VLOOKUP(B89,Karyawan!$A:$L,6,FALSE),"")</x:f>
      </x:c>
      <x:c r="H89" s="41" t="str">
        <x:f>IFERROR(VLOOKUP(B89,Karyawan!$A:$L,4,FALSE),"")</x:f>
      </x:c>
      <x:c r="I89" s="41" t="str">
        <x:f>IFERROR(VLOOKUP(B89,Karyawan!$A:$L,5,FALSE),"")</x:f>
      </x:c>
      <x:c r="J89" s="41" t="n">
        <x:f>24</x:f>
        <x:v>24</x:v>
      </x:c>
      <x:c r="K89" s="41" t="n">
        <x:f>24</x:f>
        <x:v>24</x:v>
      </x:c>
      <x:c r="L89" s="41" t="n">
        <x:f>0</x:f>
        <x:v>0</x:v>
      </x:c>
      <x:c r="M89" s="41" t="n">
        <x:f>0</x:f>
        <x:v>0</x:v>
      </x:c>
      <x:c r="N89" s="41" t="n">
        <x:f>0</x:f>
        <x:v>0</x:v>
      </x:c>
      <x:c r="O89" s="41" t="n">
        <x:f>0</x:f>
        <x:v>0</x:v>
      </x:c>
      <x:c r="P89" s="48" t="n">
        <x:f>IFERROR(VLOOKUP(G89,Golongan!$B:$E,2,FALSE),0)</x:f>
        <x:v>0</x:v>
      </x:c>
      <x:c r="Q89" s="48" t="n">
        <x:f>IFERROR(VLOOKUP(I89,Jabatan!$B:$E,3,FALSE),0)</x:f>
        <x:v>0</x:v>
      </x:c>
      <x:c r="R89" s="48" t="n">
        <x:f>IF(J89&gt;0,IF(K89&gt;=J89,IFERROR(VLOOKUP(G89,Golongan!$B:$E,4,FALSE),0),K89*IFERROR(VLOOKUP(G89,Golongan!$B:$E,3,FALSE),0)),0)</x:f>
        <x:v>0</x:v>
      </x:c>
      <x:c r="S89" s="48" t="n">
        <x:f>IFERROR(VLOOKUP(I89,Jabatan!$B:$E,4,FALSE),0)</x:f>
        <x:v>0</x:v>
      </x:c>
      <x:c r="T89" s="48" t="n">
        <x:f>F89*IFERROR(VLOOKUP("Tunjangan Masa Kerja / Tahun",Komponen!$A:$E,5,FALSE),0)</x:f>
        <x:v>0</x:v>
      </x:c>
      <x:c r="U89" s="48" t="n">
        <x:f>SUMIF(Lembur!$L$2:$L$501,A89&amp;"|"&amp;B89,Lembur!$I$2:$I$501)</x:f>
        <x:v>0</x:v>
      </x:c>
      <x:c r="V89" s="48" t="n">
        <x:f>K89*IFERROR(VLOOKUP("Uang Makan / Hari",Komponen!$A:$E,5,FALSE),0)</x:f>
        <x:v>0</x:v>
      </x:c>
      <x:c r="W89" s="48" t="n">
        <x:f>0</x:f>
        <x:v>0</x:v>
      </x:c>
      <x:c r="X89" s="48" t="n">
        <x:f>SUM(P89:W89)</x:f>
        <x:v>0</x:v>
      </x:c>
      <x:c r="Y89" s="48" t="n">
        <x:f>O89*IFERROR(VLOOKUP("Potongan Alpha",Komponen!$A:$E,5,FALSE),0)</x:f>
        <x:v>0</x:v>
      </x:c>
      <x:c r="Z89" s="48" t="n">
        <x:f>L89*IFERROR(VLOOKUP("Potongan Telat",Komponen!$A:$E,5,FALSE),0)</x:f>
        <x:v>0</x:v>
      </x:c>
      <x:c r="AA89" s="48" t="n">
        <x:f>0</x:f>
        <x:v>0</x:v>
      </x:c>
      <x:c r="AB89" s="48" t="n">
        <x:f>SUM(Y89:AA89)</x:f>
        <x:v>0</x:v>
      </x:c>
      <x:c r="AC89" s="48" t="n">
        <x:f>0</x:f>
        <x:v>0</x:v>
      </x:c>
      <x:c r="AD89" s="48" t="n">
        <x:f>X89-AB89+AC89</x:f>
        <x:v>0</x:v>
      </x:c>
      <x:c r="AE89" s="41" t="str">
        <x:f>IFERROR(VLOOKUP(B89,Karyawan!$A:$L,10,FALSE),"")</x:f>
      </x:c>
      <x:c r="AF89" s="41" t="str">
        <x:f>IF(AD89&lt;=0,"Cek gaji bersih",IF(P89&lt;=0,"Cek gaji pokok",IF(H89="","Cek jabatan",IF(G89="","Cek golongan","OK"))))</x:f>
        <x:v>Cek gaji bersih</x:v>
      </x:c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 t="n">
        <x:f>B90</x:f>
        <x:v>0</x:v>
      </x:c>
      <x:c r="D90" s="41" t="str">
        <x:f>IFERROR(VLOOKUP(B90,Karyawan!$A:$L,2,FALSE),"")</x:f>
      </x:c>
      <x:c r="E90" s="41" t="str">
        <x:f>IFERROR(VLOOKUP(B90,Karyawan!$A:$L,3,FALSE),"")</x:f>
      </x:c>
      <x:c r="F90" s="41" t="n">
        <x:f>IFERROR(VLOOKUP(B90,Karyawan!$A:$L,8,FALSE),0)</x:f>
        <x:v>0</x:v>
      </x:c>
      <x:c r="G90" s="41" t="str">
        <x:f>IFERROR(VLOOKUP(B90,Karyawan!$A:$L,6,FALSE),"")</x:f>
      </x:c>
      <x:c r="H90" s="41" t="str">
        <x:f>IFERROR(VLOOKUP(B90,Karyawan!$A:$L,4,FALSE),"")</x:f>
      </x:c>
      <x:c r="I90" s="41" t="str">
        <x:f>IFERROR(VLOOKUP(B90,Karyawan!$A:$L,5,FALSE),"")</x:f>
      </x:c>
      <x:c r="J90" s="41" t="n">
        <x:f>24</x:f>
        <x:v>24</x:v>
      </x:c>
      <x:c r="K90" s="41" t="n">
        <x:f>24</x:f>
        <x:v>24</x:v>
      </x:c>
      <x:c r="L90" s="41" t="n">
        <x:f>0</x:f>
        <x:v>0</x:v>
      </x:c>
      <x:c r="M90" s="41" t="n">
        <x:f>0</x:f>
        <x:v>0</x:v>
      </x:c>
      <x:c r="N90" s="41" t="n">
        <x:f>0</x:f>
        <x:v>0</x:v>
      </x:c>
      <x:c r="O90" s="41" t="n">
        <x:f>0</x:f>
        <x:v>0</x:v>
      </x:c>
      <x:c r="P90" s="48" t="n">
        <x:f>IFERROR(VLOOKUP(G90,Golongan!$B:$E,2,FALSE),0)</x:f>
        <x:v>0</x:v>
      </x:c>
      <x:c r="Q90" s="48" t="n">
        <x:f>IFERROR(VLOOKUP(I90,Jabatan!$B:$E,3,FALSE),0)</x:f>
        <x:v>0</x:v>
      </x:c>
      <x:c r="R90" s="48" t="n">
        <x:f>IF(J90&gt;0,IF(K90&gt;=J90,IFERROR(VLOOKUP(G90,Golongan!$B:$E,4,FALSE),0),K90*IFERROR(VLOOKUP(G90,Golongan!$B:$E,3,FALSE),0)),0)</x:f>
        <x:v>0</x:v>
      </x:c>
      <x:c r="S90" s="48" t="n">
        <x:f>IFERROR(VLOOKUP(I90,Jabatan!$B:$E,4,FALSE),0)</x:f>
        <x:v>0</x:v>
      </x:c>
      <x:c r="T90" s="48" t="n">
        <x:f>F90*IFERROR(VLOOKUP("Tunjangan Masa Kerja / Tahun",Komponen!$A:$E,5,FALSE),0)</x:f>
        <x:v>0</x:v>
      </x:c>
      <x:c r="U90" s="48" t="n">
        <x:f>SUMIF(Lembur!$L$2:$L$501,A90&amp;"|"&amp;B90,Lembur!$I$2:$I$501)</x:f>
        <x:v>0</x:v>
      </x:c>
      <x:c r="V90" s="48" t="n">
        <x:f>K90*IFERROR(VLOOKUP("Uang Makan / Hari",Komponen!$A:$E,5,FALSE),0)</x:f>
        <x:v>0</x:v>
      </x:c>
      <x:c r="W90" s="48" t="n">
        <x:f>0</x:f>
        <x:v>0</x:v>
      </x:c>
      <x:c r="X90" s="48" t="n">
        <x:f>SUM(P90:W90)</x:f>
        <x:v>0</x:v>
      </x:c>
      <x:c r="Y90" s="48" t="n">
        <x:f>O90*IFERROR(VLOOKUP("Potongan Alpha",Komponen!$A:$E,5,FALSE),0)</x:f>
        <x:v>0</x:v>
      </x:c>
      <x:c r="Z90" s="48" t="n">
        <x:f>L90*IFERROR(VLOOKUP("Potongan Telat",Komponen!$A:$E,5,FALSE),0)</x:f>
        <x:v>0</x:v>
      </x:c>
      <x:c r="AA90" s="48" t="n">
        <x:f>0</x:f>
        <x:v>0</x:v>
      </x:c>
      <x:c r="AB90" s="48" t="n">
        <x:f>SUM(Y90:AA90)</x:f>
        <x:v>0</x:v>
      </x:c>
      <x:c r="AC90" s="48" t="n">
        <x:f>0</x:f>
        <x:v>0</x:v>
      </x:c>
      <x:c r="AD90" s="48" t="n">
        <x:f>X90-AB90+AC90</x:f>
        <x:v>0</x:v>
      </x:c>
      <x:c r="AE90" s="41" t="str">
        <x:f>IFERROR(VLOOKUP(B90,Karyawan!$A:$L,10,FALSE),"")</x:f>
      </x:c>
      <x:c r="AF90" s="41" t="str">
        <x:f>IF(AD90&lt;=0,"Cek gaji bersih",IF(P90&lt;=0,"Cek gaji pokok",IF(H90="","Cek jabatan",IF(G90="","Cek golongan","OK"))))</x:f>
        <x:v>Cek gaji bersih</x:v>
      </x:c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 t="n">
        <x:f>B91</x:f>
        <x:v>0</x:v>
      </x:c>
      <x:c r="D91" s="41" t="str">
        <x:f>IFERROR(VLOOKUP(B91,Karyawan!$A:$L,2,FALSE),"")</x:f>
      </x:c>
      <x:c r="E91" s="41" t="str">
        <x:f>IFERROR(VLOOKUP(B91,Karyawan!$A:$L,3,FALSE),"")</x:f>
      </x:c>
      <x:c r="F91" s="41" t="n">
        <x:f>IFERROR(VLOOKUP(B91,Karyawan!$A:$L,8,FALSE),0)</x:f>
        <x:v>0</x:v>
      </x:c>
      <x:c r="G91" s="41" t="str">
        <x:f>IFERROR(VLOOKUP(B91,Karyawan!$A:$L,6,FALSE),"")</x:f>
      </x:c>
      <x:c r="H91" s="41" t="str">
        <x:f>IFERROR(VLOOKUP(B91,Karyawan!$A:$L,4,FALSE),"")</x:f>
      </x:c>
      <x:c r="I91" s="41" t="str">
        <x:f>IFERROR(VLOOKUP(B91,Karyawan!$A:$L,5,FALSE),"")</x:f>
      </x:c>
      <x:c r="J91" s="41" t="n">
        <x:f>24</x:f>
        <x:v>24</x:v>
      </x:c>
      <x:c r="K91" s="41" t="n">
        <x:f>24</x:f>
        <x:v>24</x:v>
      </x:c>
      <x:c r="L91" s="41" t="n">
        <x:f>0</x:f>
        <x:v>0</x:v>
      </x:c>
      <x:c r="M91" s="41" t="n">
        <x:f>0</x:f>
        <x:v>0</x:v>
      </x:c>
      <x:c r="N91" s="41" t="n">
        <x:f>0</x:f>
        <x:v>0</x:v>
      </x:c>
      <x:c r="O91" s="41" t="n">
        <x:f>0</x:f>
        <x:v>0</x:v>
      </x:c>
      <x:c r="P91" s="48" t="n">
        <x:f>IFERROR(VLOOKUP(G91,Golongan!$B:$E,2,FALSE),0)</x:f>
        <x:v>0</x:v>
      </x:c>
      <x:c r="Q91" s="48" t="n">
        <x:f>IFERROR(VLOOKUP(I91,Jabatan!$B:$E,3,FALSE),0)</x:f>
        <x:v>0</x:v>
      </x:c>
      <x:c r="R91" s="48" t="n">
        <x:f>IF(J91&gt;0,IF(K91&gt;=J91,IFERROR(VLOOKUP(G91,Golongan!$B:$E,4,FALSE),0),K91*IFERROR(VLOOKUP(G91,Golongan!$B:$E,3,FALSE),0)),0)</x:f>
        <x:v>0</x:v>
      </x:c>
      <x:c r="S91" s="48" t="n">
        <x:f>IFERROR(VLOOKUP(I91,Jabatan!$B:$E,4,FALSE),0)</x:f>
        <x:v>0</x:v>
      </x:c>
      <x:c r="T91" s="48" t="n">
        <x:f>F91*IFERROR(VLOOKUP("Tunjangan Masa Kerja / Tahun",Komponen!$A:$E,5,FALSE),0)</x:f>
        <x:v>0</x:v>
      </x:c>
      <x:c r="U91" s="48" t="n">
        <x:f>SUMIF(Lembur!$L$2:$L$501,A91&amp;"|"&amp;B91,Lembur!$I$2:$I$501)</x:f>
        <x:v>0</x:v>
      </x:c>
      <x:c r="V91" s="48" t="n">
        <x:f>K91*IFERROR(VLOOKUP("Uang Makan / Hari",Komponen!$A:$E,5,FALSE),0)</x:f>
        <x:v>0</x:v>
      </x:c>
      <x:c r="W91" s="48" t="n">
        <x:f>0</x:f>
        <x:v>0</x:v>
      </x:c>
      <x:c r="X91" s="48" t="n">
        <x:f>SUM(P91:W91)</x:f>
        <x:v>0</x:v>
      </x:c>
      <x:c r="Y91" s="48" t="n">
        <x:f>O91*IFERROR(VLOOKUP("Potongan Alpha",Komponen!$A:$E,5,FALSE),0)</x:f>
        <x:v>0</x:v>
      </x:c>
      <x:c r="Z91" s="48" t="n">
        <x:f>L91*IFERROR(VLOOKUP("Potongan Telat",Komponen!$A:$E,5,FALSE),0)</x:f>
        <x:v>0</x:v>
      </x:c>
      <x:c r="AA91" s="48" t="n">
        <x:f>0</x:f>
        <x:v>0</x:v>
      </x:c>
      <x:c r="AB91" s="48" t="n">
        <x:f>SUM(Y91:AA91)</x:f>
        <x:v>0</x:v>
      </x:c>
      <x:c r="AC91" s="48" t="n">
        <x:f>0</x:f>
        <x:v>0</x:v>
      </x:c>
      <x:c r="AD91" s="48" t="n">
        <x:f>X91-AB91+AC91</x:f>
        <x:v>0</x:v>
      </x:c>
      <x:c r="AE91" s="41" t="str">
        <x:f>IFERROR(VLOOKUP(B91,Karyawan!$A:$L,10,FALSE),"")</x:f>
      </x:c>
      <x:c r="AF91" s="41" t="str">
        <x:f>IF(AD91&lt;=0,"Cek gaji bersih",IF(P91&lt;=0,"Cek gaji pokok",IF(H91="","Cek jabatan",IF(G91="","Cek golongan","OK"))))</x:f>
        <x:v>Cek gaji bersih</x:v>
      </x:c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 t="n">
        <x:f>B92</x:f>
        <x:v>0</x:v>
      </x:c>
      <x:c r="D92" s="41" t="str">
        <x:f>IFERROR(VLOOKUP(B92,Karyawan!$A:$L,2,FALSE),"")</x:f>
      </x:c>
      <x:c r="E92" s="41" t="str">
        <x:f>IFERROR(VLOOKUP(B92,Karyawan!$A:$L,3,FALSE),"")</x:f>
      </x:c>
      <x:c r="F92" s="41" t="n">
        <x:f>IFERROR(VLOOKUP(B92,Karyawan!$A:$L,8,FALSE),0)</x:f>
        <x:v>0</x:v>
      </x:c>
      <x:c r="G92" s="41" t="str">
        <x:f>IFERROR(VLOOKUP(B92,Karyawan!$A:$L,6,FALSE),"")</x:f>
      </x:c>
      <x:c r="H92" s="41" t="str">
        <x:f>IFERROR(VLOOKUP(B92,Karyawan!$A:$L,4,FALSE),"")</x:f>
      </x:c>
      <x:c r="I92" s="41" t="str">
        <x:f>IFERROR(VLOOKUP(B92,Karyawan!$A:$L,5,FALSE),"")</x:f>
      </x:c>
      <x:c r="J92" s="41" t="n">
        <x:f>24</x:f>
        <x:v>24</x:v>
      </x:c>
      <x:c r="K92" s="41" t="n">
        <x:f>24</x:f>
        <x:v>24</x:v>
      </x:c>
      <x:c r="L92" s="41" t="n">
        <x:f>0</x:f>
        <x:v>0</x:v>
      </x:c>
      <x:c r="M92" s="41" t="n">
        <x:f>0</x:f>
        <x:v>0</x:v>
      </x:c>
      <x:c r="N92" s="41" t="n">
        <x:f>0</x:f>
        <x:v>0</x:v>
      </x:c>
      <x:c r="O92" s="41" t="n">
        <x:f>0</x:f>
        <x:v>0</x:v>
      </x:c>
      <x:c r="P92" s="48" t="n">
        <x:f>IFERROR(VLOOKUP(G92,Golongan!$B:$E,2,FALSE),0)</x:f>
        <x:v>0</x:v>
      </x:c>
      <x:c r="Q92" s="48" t="n">
        <x:f>IFERROR(VLOOKUP(I92,Jabatan!$B:$E,3,FALSE),0)</x:f>
        <x:v>0</x:v>
      </x:c>
      <x:c r="R92" s="48" t="n">
        <x:f>IF(J92&gt;0,IF(K92&gt;=J92,IFERROR(VLOOKUP(G92,Golongan!$B:$E,4,FALSE),0),K92*IFERROR(VLOOKUP(G92,Golongan!$B:$E,3,FALSE),0)),0)</x:f>
        <x:v>0</x:v>
      </x:c>
      <x:c r="S92" s="48" t="n">
        <x:f>IFERROR(VLOOKUP(I92,Jabatan!$B:$E,4,FALSE),0)</x:f>
        <x:v>0</x:v>
      </x:c>
      <x:c r="T92" s="48" t="n">
        <x:f>F92*IFERROR(VLOOKUP("Tunjangan Masa Kerja / Tahun",Komponen!$A:$E,5,FALSE),0)</x:f>
        <x:v>0</x:v>
      </x:c>
      <x:c r="U92" s="48" t="n">
        <x:f>SUMIF(Lembur!$L$2:$L$501,A92&amp;"|"&amp;B92,Lembur!$I$2:$I$501)</x:f>
        <x:v>0</x:v>
      </x:c>
      <x:c r="V92" s="48" t="n">
        <x:f>K92*IFERROR(VLOOKUP("Uang Makan / Hari",Komponen!$A:$E,5,FALSE),0)</x:f>
        <x:v>0</x:v>
      </x:c>
      <x:c r="W92" s="48" t="n">
        <x:f>0</x:f>
        <x:v>0</x:v>
      </x:c>
      <x:c r="X92" s="48" t="n">
        <x:f>SUM(P92:W92)</x:f>
        <x:v>0</x:v>
      </x:c>
      <x:c r="Y92" s="48" t="n">
        <x:f>O92*IFERROR(VLOOKUP("Potongan Alpha",Komponen!$A:$E,5,FALSE),0)</x:f>
        <x:v>0</x:v>
      </x:c>
      <x:c r="Z92" s="48" t="n">
        <x:f>L92*IFERROR(VLOOKUP("Potongan Telat",Komponen!$A:$E,5,FALSE),0)</x:f>
        <x:v>0</x:v>
      </x:c>
      <x:c r="AA92" s="48" t="n">
        <x:f>0</x:f>
        <x:v>0</x:v>
      </x:c>
      <x:c r="AB92" s="48" t="n">
        <x:f>SUM(Y92:AA92)</x:f>
        <x:v>0</x:v>
      </x:c>
      <x:c r="AC92" s="48" t="n">
        <x:f>0</x:f>
        <x:v>0</x:v>
      </x:c>
      <x:c r="AD92" s="48" t="n">
        <x:f>X92-AB92+AC92</x:f>
        <x:v>0</x:v>
      </x:c>
      <x:c r="AE92" s="41" t="str">
        <x:f>IFERROR(VLOOKUP(B92,Karyawan!$A:$L,10,FALSE),"")</x:f>
      </x:c>
      <x:c r="AF92" s="41" t="str">
        <x:f>IF(AD92&lt;=0,"Cek gaji bersih",IF(P92&lt;=0,"Cek gaji pokok",IF(H92="","Cek jabatan",IF(G92="","Cek golongan","OK"))))</x:f>
        <x:v>Cek gaji bersih</x:v>
      </x:c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 t="n">
        <x:f>B93</x:f>
        <x:v>0</x:v>
      </x:c>
      <x:c r="D93" s="41" t="str">
        <x:f>IFERROR(VLOOKUP(B93,Karyawan!$A:$L,2,FALSE),"")</x:f>
      </x:c>
      <x:c r="E93" s="41" t="str">
        <x:f>IFERROR(VLOOKUP(B93,Karyawan!$A:$L,3,FALSE),"")</x:f>
      </x:c>
      <x:c r="F93" s="41" t="n">
        <x:f>IFERROR(VLOOKUP(B93,Karyawan!$A:$L,8,FALSE),0)</x:f>
        <x:v>0</x:v>
      </x:c>
      <x:c r="G93" s="41" t="str">
        <x:f>IFERROR(VLOOKUP(B93,Karyawan!$A:$L,6,FALSE),"")</x:f>
      </x:c>
      <x:c r="H93" s="41" t="str">
        <x:f>IFERROR(VLOOKUP(B93,Karyawan!$A:$L,4,FALSE),"")</x:f>
      </x:c>
      <x:c r="I93" s="41" t="str">
        <x:f>IFERROR(VLOOKUP(B93,Karyawan!$A:$L,5,FALSE),"")</x:f>
      </x:c>
      <x:c r="J93" s="41" t="n">
        <x:f>24</x:f>
        <x:v>24</x:v>
      </x:c>
      <x:c r="K93" s="41" t="n">
        <x:f>24</x:f>
        <x:v>24</x:v>
      </x:c>
      <x:c r="L93" s="41" t="n">
        <x:f>0</x:f>
        <x:v>0</x:v>
      </x:c>
      <x:c r="M93" s="41" t="n">
        <x:f>0</x:f>
        <x:v>0</x:v>
      </x:c>
      <x:c r="N93" s="41" t="n">
        <x:f>0</x:f>
        <x:v>0</x:v>
      </x:c>
      <x:c r="O93" s="41" t="n">
        <x:f>0</x:f>
        <x:v>0</x:v>
      </x:c>
      <x:c r="P93" s="48" t="n">
        <x:f>IFERROR(VLOOKUP(G93,Golongan!$B:$E,2,FALSE),0)</x:f>
        <x:v>0</x:v>
      </x:c>
      <x:c r="Q93" s="48" t="n">
        <x:f>IFERROR(VLOOKUP(I93,Jabatan!$B:$E,3,FALSE),0)</x:f>
        <x:v>0</x:v>
      </x:c>
      <x:c r="R93" s="48" t="n">
        <x:f>IF(J93&gt;0,IF(K93&gt;=J93,IFERROR(VLOOKUP(G93,Golongan!$B:$E,4,FALSE),0),K93*IFERROR(VLOOKUP(G93,Golongan!$B:$E,3,FALSE),0)),0)</x:f>
        <x:v>0</x:v>
      </x:c>
      <x:c r="S93" s="48" t="n">
        <x:f>IFERROR(VLOOKUP(I93,Jabatan!$B:$E,4,FALSE),0)</x:f>
        <x:v>0</x:v>
      </x:c>
      <x:c r="T93" s="48" t="n">
        <x:f>F93*IFERROR(VLOOKUP("Tunjangan Masa Kerja / Tahun",Komponen!$A:$E,5,FALSE),0)</x:f>
        <x:v>0</x:v>
      </x:c>
      <x:c r="U93" s="48" t="n">
        <x:f>SUMIF(Lembur!$L$2:$L$501,A93&amp;"|"&amp;B93,Lembur!$I$2:$I$501)</x:f>
        <x:v>0</x:v>
      </x:c>
      <x:c r="V93" s="48" t="n">
        <x:f>K93*IFERROR(VLOOKUP("Uang Makan / Hari",Komponen!$A:$E,5,FALSE),0)</x:f>
        <x:v>0</x:v>
      </x:c>
      <x:c r="W93" s="48" t="n">
        <x:f>0</x:f>
        <x:v>0</x:v>
      </x:c>
      <x:c r="X93" s="48" t="n">
        <x:f>SUM(P93:W93)</x:f>
        <x:v>0</x:v>
      </x:c>
      <x:c r="Y93" s="48" t="n">
        <x:f>O93*IFERROR(VLOOKUP("Potongan Alpha",Komponen!$A:$E,5,FALSE),0)</x:f>
        <x:v>0</x:v>
      </x:c>
      <x:c r="Z93" s="48" t="n">
        <x:f>L93*IFERROR(VLOOKUP("Potongan Telat",Komponen!$A:$E,5,FALSE),0)</x:f>
        <x:v>0</x:v>
      </x:c>
      <x:c r="AA93" s="48" t="n">
        <x:f>0</x:f>
        <x:v>0</x:v>
      </x:c>
      <x:c r="AB93" s="48" t="n">
        <x:f>SUM(Y93:AA93)</x:f>
        <x:v>0</x:v>
      </x:c>
      <x:c r="AC93" s="48" t="n">
        <x:f>0</x:f>
        <x:v>0</x:v>
      </x:c>
      <x:c r="AD93" s="48" t="n">
        <x:f>X93-AB93+AC93</x:f>
        <x:v>0</x:v>
      </x:c>
      <x:c r="AE93" s="41" t="str">
        <x:f>IFERROR(VLOOKUP(B93,Karyawan!$A:$L,10,FALSE),"")</x:f>
      </x:c>
      <x:c r="AF93" s="41" t="str">
        <x:f>IF(AD93&lt;=0,"Cek gaji bersih",IF(P93&lt;=0,"Cek gaji pokok",IF(H93="","Cek jabatan",IF(G93="","Cek golongan","OK"))))</x:f>
        <x:v>Cek gaji bersih</x:v>
      </x:c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 t="n">
        <x:f>B94</x:f>
        <x:v>0</x:v>
      </x:c>
      <x:c r="D94" s="41" t="str">
        <x:f>IFERROR(VLOOKUP(B94,Karyawan!$A:$L,2,FALSE),"")</x:f>
      </x:c>
      <x:c r="E94" s="41" t="str">
        <x:f>IFERROR(VLOOKUP(B94,Karyawan!$A:$L,3,FALSE),"")</x:f>
      </x:c>
      <x:c r="F94" s="41" t="n">
        <x:f>IFERROR(VLOOKUP(B94,Karyawan!$A:$L,8,FALSE),0)</x:f>
        <x:v>0</x:v>
      </x:c>
      <x:c r="G94" s="41" t="str">
        <x:f>IFERROR(VLOOKUP(B94,Karyawan!$A:$L,6,FALSE),"")</x:f>
      </x:c>
      <x:c r="H94" s="41" t="str">
        <x:f>IFERROR(VLOOKUP(B94,Karyawan!$A:$L,4,FALSE),"")</x:f>
      </x:c>
      <x:c r="I94" s="41" t="str">
        <x:f>IFERROR(VLOOKUP(B94,Karyawan!$A:$L,5,FALSE),"")</x:f>
      </x:c>
      <x:c r="J94" s="41" t="n">
        <x:f>24</x:f>
        <x:v>24</x:v>
      </x:c>
      <x:c r="K94" s="41" t="n">
        <x:f>24</x:f>
        <x:v>24</x:v>
      </x:c>
      <x:c r="L94" s="41" t="n">
        <x:f>0</x:f>
        <x:v>0</x:v>
      </x:c>
      <x:c r="M94" s="41" t="n">
        <x:f>0</x:f>
        <x:v>0</x:v>
      </x:c>
      <x:c r="N94" s="41" t="n">
        <x:f>0</x:f>
        <x:v>0</x:v>
      </x:c>
      <x:c r="O94" s="41" t="n">
        <x:f>0</x:f>
        <x:v>0</x:v>
      </x:c>
      <x:c r="P94" s="48" t="n">
        <x:f>IFERROR(VLOOKUP(G94,Golongan!$B:$E,2,FALSE),0)</x:f>
        <x:v>0</x:v>
      </x:c>
      <x:c r="Q94" s="48" t="n">
        <x:f>IFERROR(VLOOKUP(I94,Jabatan!$B:$E,3,FALSE),0)</x:f>
        <x:v>0</x:v>
      </x:c>
      <x:c r="R94" s="48" t="n">
        <x:f>IF(J94&gt;0,IF(K94&gt;=J94,IFERROR(VLOOKUP(G94,Golongan!$B:$E,4,FALSE),0),K94*IFERROR(VLOOKUP(G94,Golongan!$B:$E,3,FALSE),0)),0)</x:f>
        <x:v>0</x:v>
      </x:c>
      <x:c r="S94" s="48" t="n">
        <x:f>IFERROR(VLOOKUP(I94,Jabatan!$B:$E,4,FALSE),0)</x:f>
        <x:v>0</x:v>
      </x:c>
      <x:c r="T94" s="48" t="n">
        <x:f>F94*IFERROR(VLOOKUP("Tunjangan Masa Kerja / Tahun",Komponen!$A:$E,5,FALSE),0)</x:f>
        <x:v>0</x:v>
      </x:c>
      <x:c r="U94" s="48" t="n">
        <x:f>SUMIF(Lembur!$L$2:$L$501,A94&amp;"|"&amp;B94,Lembur!$I$2:$I$501)</x:f>
        <x:v>0</x:v>
      </x:c>
      <x:c r="V94" s="48" t="n">
        <x:f>K94*IFERROR(VLOOKUP("Uang Makan / Hari",Komponen!$A:$E,5,FALSE),0)</x:f>
        <x:v>0</x:v>
      </x:c>
      <x:c r="W94" s="48" t="n">
        <x:f>0</x:f>
        <x:v>0</x:v>
      </x:c>
      <x:c r="X94" s="48" t="n">
        <x:f>SUM(P94:W94)</x:f>
        <x:v>0</x:v>
      </x:c>
      <x:c r="Y94" s="48" t="n">
        <x:f>O94*IFERROR(VLOOKUP("Potongan Alpha",Komponen!$A:$E,5,FALSE),0)</x:f>
        <x:v>0</x:v>
      </x:c>
      <x:c r="Z94" s="48" t="n">
        <x:f>L94*IFERROR(VLOOKUP("Potongan Telat",Komponen!$A:$E,5,FALSE),0)</x:f>
        <x:v>0</x:v>
      </x:c>
      <x:c r="AA94" s="48" t="n">
        <x:f>0</x:f>
        <x:v>0</x:v>
      </x:c>
      <x:c r="AB94" s="48" t="n">
        <x:f>SUM(Y94:AA94)</x:f>
        <x:v>0</x:v>
      </x:c>
      <x:c r="AC94" s="48" t="n">
        <x:f>0</x:f>
        <x:v>0</x:v>
      </x:c>
      <x:c r="AD94" s="48" t="n">
        <x:f>X94-AB94+AC94</x:f>
        <x:v>0</x:v>
      </x:c>
      <x:c r="AE94" s="41" t="str">
        <x:f>IFERROR(VLOOKUP(B94,Karyawan!$A:$L,10,FALSE),"")</x:f>
      </x:c>
      <x:c r="AF94" s="41" t="str">
        <x:f>IF(AD94&lt;=0,"Cek gaji bersih",IF(P94&lt;=0,"Cek gaji pokok",IF(H94="","Cek jabatan",IF(G94="","Cek golongan","OK"))))</x:f>
        <x:v>Cek gaji bersih</x:v>
      </x:c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 t="n">
        <x:f>B95</x:f>
        <x:v>0</x:v>
      </x:c>
      <x:c r="D95" s="41" t="str">
        <x:f>IFERROR(VLOOKUP(B95,Karyawan!$A:$L,2,FALSE),"")</x:f>
      </x:c>
      <x:c r="E95" s="41" t="str">
        <x:f>IFERROR(VLOOKUP(B95,Karyawan!$A:$L,3,FALSE),"")</x:f>
      </x:c>
      <x:c r="F95" s="41" t="n">
        <x:f>IFERROR(VLOOKUP(B95,Karyawan!$A:$L,8,FALSE),0)</x:f>
        <x:v>0</x:v>
      </x:c>
      <x:c r="G95" s="41" t="str">
        <x:f>IFERROR(VLOOKUP(B95,Karyawan!$A:$L,6,FALSE),"")</x:f>
      </x:c>
      <x:c r="H95" s="41" t="str">
        <x:f>IFERROR(VLOOKUP(B95,Karyawan!$A:$L,4,FALSE),"")</x:f>
      </x:c>
      <x:c r="I95" s="41" t="str">
        <x:f>IFERROR(VLOOKUP(B95,Karyawan!$A:$L,5,FALSE),"")</x:f>
      </x:c>
      <x:c r="J95" s="41" t="n">
        <x:f>24</x:f>
        <x:v>24</x:v>
      </x:c>
      <x:c r="K95" s="41" t="n">
        <x:f>24</x:f>
        <x:v>24</x:v>
      </x:c>
      <x:c r="L95" s="41" t="n">
        <x:f>0</x:f>
        <x:v>0</x:v>
      </x:c>
      <x:c r="M95" s="41" t="n">
        <x:f>0</x:f>
        <x:v>0</x:v>
      </x:c>
      <x:c r="N95" s="41" t="n">
        <x:f>0</x:f>
        <x:v>0</x:v>
      </x:c>
      <x:c r="O95" s="41" t="n">
        <x:f>0</x:f>
        <x:v>0</x:v>
      </x:c>
      <x:c r="P95" s="48" t="n">
        <x:f>IFERROR(VLOOKUP(G95,Golongan!$B:$E,2,FALSE),0)</x:f>
        <x:v>0</x:v>
      </x:c>
      <x:c r="Q95" s="48" t="n">
        <x:f>IFERROR(VLOOKUP(I95,Jabatan!$B:$E,3,FALSE),0)</x:f>
        <x:v>0</x:v>
      </x:c>
      <x:c r="R95" s="48" t="n">
        <x:f>IF(J95&gt;0,IF(K95&gt;=J95,IFERROR(VLOOKUP(G95,Golongan!$B:$E,4,FALSE),0),K95*IFERROR(VLOOKUP(G95,Golongan!$B:$E,3,FALSE),0)),0)</x:f>
        <x:v>0</x:v>
      </x:c>
      <x:c r="S95" s="48" t="n">
        <x:f>IFERROR(VLOOKUP(I95,Jabatan!$B:$E,4,FALSE),0)</x:f>
        <x:v>0</x:v>
      </x:c>
      <x:c r="T95" s="48" t="n">
        <x:f>F95*IFERROR(VLOOKUP("Tunjangan Masa Kerja / Tahun",Komponen!$A:$E,5,FALSE),0)</x:f>
        <x:v>0</x:v>
      </x:c>
      <x:c r="U95" s="48" t="n">
        <x:f>SUMIF(Lembur!$L$2:$L$501,A95&amp;"|"&amp;B95,Lembur!$I$2:$I$501)</x:f>
        <x:v>0</x:v>
      </x:c>
      <x:c r="V95" s="48" t="n">
        <x:f>K95*IFERROR(VLOOKUP("Uang Makan / Hari",Komponen!$A:$E,5,FALSE),0)</x:f>
        <x:v>0</x:v>
      </x:c>
      <x:c r="W95" s="48" t="n">
        <x:f>0</x:f>
        <x:v>0</x:v>
      </x:c>
      <x:c r="X95" s="48" t="n">
        <x:f>SUM(P95:W95)</x:f>
        <x:v>0</x:v>
      </x:c>
      <x:c r="Y95" s="48" t="n">
        <x:f>O95*IFERROR(VLOOKUP("Potongan Alpha",Komponen!$A:$E,5,FALSE),0)</x:f>
        <x:v>0</x:v>
      </x:c>
      <x:c r="Z95" s="48" t="n">
        <x:f>L95*IFERROR(VLOOKUP("Potongan Telat",Komponen!$A:$E,5,FALSE),0)</x:f>
        <x:v>0</x:v>
      </x:c>
      <x:c r="AA95" s="48" t="n">
        <x:f>0</x:f>
        <x:v>0</x:v>
      </x:c>
      <x:c r="AB95" s="48" t="n">
        <x:f>SUM(Y95:AA95)</x:f>
        <x:v>0</x:v>
      </x:c>
      <x:c r="AC95" s="48" t="n">
        <x:f>0</x:f>
        <x:v>0</x:v>
      </x:c>
      <x:c r="AD95" s="48" t="n">
        <x:f>X95-AB95+AC95</x:f>
        <x:v>0</x:v>
      </x:c>
      <x:c r="AE95" s="41" t="str">
        <x:f>IFERROR(VLOOKUP(B95,Karyawan!$A:$L,10,FALSE),"")</x:f>
      </x:c>
      <x:c r="AF95" s="41" t="str">
        <x:f>IF(AD95&lt;=0,"Cek gaji bersih",IF(P95&lt;=0,"Cek gaji pokok",IF(H95="","Cek jabatan",IF(G95="","Cek golongan","OK"))))</x:f>
        <x:v>Cek gaji bersih</x:v>
      </x:c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 t="n">
        <x:f>B96</x:f>
        <x:v>0</x:v>
      </x:c>
      <x:c r="D96" s="41" t="str">
        <x:f>IFERROR(VLOOKUP(B96,Karyawan!$A:$L,2,FALSE),"")</x:f>
      </x:c>
      <x:c r="E96" s="41" t="str">
        <x:f>IFERROR(VLOOKUP(B96,Karyawan!$A:$L,3,FALSE),"")</x:f>
      </x:c>
      <x:c r="F96" s="41" t="n">
        <x:f>IFERROR(VLOOKUP(B96,Karyawan!$A:$L,8,FALSE),0)</x:f>
        <x:v>0</x:v>
      </x:c>
      <x:c r="G96" s="41" t="str">
        <x:f>IFERROR(VLOOKUP(B96,Karyawan!$A:$L,6,FALSE),"")</x:f>
      </x:c>
      <x:c r="H96" s="41" t="str">
        <x:f>IFERROR(VLOOKUP(B96,Karyawan!$A:$L,4,FALSE),"")</x:f>
      </x:c>
      <x:c r="I96" s="41" t="str">
        <x:f>IFERROR(VLOOKUP(B96,Karyawan!$A:$L,5,FALSE),"")</x:f>
      </x:c>
      <x:c r="J96" s="41" t="n">
        <x:f>24</x:f>
        <x:v>24</x:v>
      </x:c>
      <x:c r="K96" s="41" t="n">
        <x:f>24</x:f>
        <x:v>24</x:v>
      </x:c>
      <x:c r="L96" s="41" t="n">
        <x:f>0</x:f>
        <x:v>0</x:v>
      </x:c>
      <x:c r="M96" s="41" t="n">
        <x:f>0</x:f>
        <x:v>0</x:v>
      </x:c>
      <x:c r="N96" s="41" t="n">
        <x:f>0</x:f>
        <x:v>0</x:v>
      </x:c>
      <x:c r="O96" s="41" t="n">
        <x:f>0</x:f>
        <x:v>0</x:v>
      </x:c>
      <x:c r="P96" s="48" t="n">
        <x:f>IFERROR(VLOOKUP(G96,Golongan!$B:$E,2,FALSE),0)</x:f>
        <x:v>0</x:v>
      </x:c>
      <x:c r="Q96" s="48" t="n">
        <x:f>IFERROR(VLOOKUP(I96,Jabatan!$B:$E,3,FALSE),0)</x:f>
        <x:v>0</x:v>
      </x:c>
      <x:c r="R96" s="48" t="n">
        <x:f>IF(J96&gt;0,IF(K96&gt;=J96,IFERROR(VLOOKUP(G96,Golongan!$B:$E,4,FALSE),0),K96*IFERROR(VLOOKUP(G96,Golongan!$B:$E,3,FALSE),0)),0)</x:f>
        <x:v>0</x:v>
      </x:c>
      <x:c r="S96" s="48" t="n">
        <x:f>IFERROR(VLOOKUP(I96,Jabatan!$B:$E,4,FALSE),0)</x:f>
        <x:v>0</x:v>
      </x:c>
      <x:c r="T96" s="48" t="n">
        <x:f>F96*IFERROR(VLOOKUP("Tunjangan Masa Kerja / Tahun",Komponen!$A:$E,5,FALSE),0)</x:f>
        <x:v>0</x:v>
      </x:c>
      <x:c r="U96" s="48" t="n">
        <x:f>SUMIF(Lembur!$L$2:$L$501,A96&amp;"|"&amp;B96,Lembur!$I$2:$I$501)</x:f>
        <x:v>0</x:v>
      </x:c>
      <x:c r="V96" s="48" t="n">
        <x:f>K96*IFERROR(VLOOKUP("Uang Makan / Hari",Komponen!$A:$E,5,FALSE),0)</x:f>
        <x:v>0</x:v>
      </x:c>
      <x:c r="W96" s="48" t="n">
        <x:f>0</x:f>
        <x:v>0</x:v>
      </x:c>
      <x:c r="X96" s="48" t="n">
        <x:f>SUM(P96:W96)</x:f>
        <x:v>0</x:v>
      </x:c>
      <x:c r="Y96" s="48" t="n">
        <x:f>O96*IFERROR(VLOOKUP("Potongan Alpha",Komponen!$A:$E,5,FALSE),0)</x:f>
        <x:v>0</x:v>
      </x:c>
      <x:c r="Z96" s="48" t="n">
        <x:f>L96*IFERROR(VLOOKUP("Potongan Telat",Komponen!$A:$E,5,FALSE),0)</x:f>
        <x:v>0</x:v>
      </x:c>
      <x:c r="AA96" s="48" t="n">
        <x:f>0</x:f>
        <x:v>0</x:v>
      </x:c>
      <x:c r="AB96" s="48" t="n">
        <x:f>SUM(Y96:AA96)</x:f>
        <x:v>0</x:v>
      </x:c>
      <x:c r="AC96" s="48" t="n">
        <x:f>0</x:f>
        <x:v>0</x:v>
      </x:c>
      <x:c r="AD96" s="48" t="n">
        <x:f>X96-AB96+AC96</x:f>
        <x:v>0</x:v>
      </x:c>
      <x:c r="AE96" s="41" t="str">
        <x:f>IFERROR(VLOOKUP(B96,Karyawan!$A:$L,10,FALSE),"")</x:f>
      </x:c>
      <x:c r="AF96" s="41" t="str">
        <x:f>IF(AD96&lt;=0,"Cek gaji bersih",IF(P96&lt;=0,"Cek gaji pokok",IF(H96="","Cek jabatan",IF(G96="","Cek golongan","OK"))))</x:f>
        <x:v>Cek gaji bersih</x:v>
      </x:c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 t="n">
        <x:f>B97</x:f>
        <x:v>0</x:v>
      </x:c>
      <x:c r="D97" s="41" t="str">
        <x:f>IFERROR(VLOOKUP(B97,Karyawan!$A:$L,2,FALSE),"")</x:f>
      </x:c>
      <x:c r="E97" s="41" t="str">
        <x:f>IFERROR(VLOOKUP(B97,Karyawan!$A:$L,3,FALSE),"")</x:f>
      </x:c>
      <x:c r="F97" s="41" t="n">
        <x:f>IFERROR(VLOOKUP(B97,Karyawan!$A:$L,8,FALSE),0)</x:f>
        <x:v>0</x:v>
      </x:c>
      <x:c r="G97" s="41" t="str">
        <x:f>IFERROR(VLOOKUP(B97,Karyawan!$A:$L,6,FALSE),"")</x:f>
      </x:c>
      <x:c r="H97" s="41" t="str">
        <x:f>IFERROR(VLOOKUP(B97,Karyawan!$A:$L,4,FALSE),"")</x:f>
      </x:c>
      <x:c r="I97" s="41" t="str">
        <x:f>IFERROR(VLOOKUP(B97,Karyawan!$A:$L,5,FALSE),"")</x:f>
      </x:c>
      <x:c r="J97" s="41" t="n">
        <x:f>24</x:f>
        <x:v>24</x:v>
      </x:c>
      <x:c r="K97" s="41" t="n">
        <x:f>24</x:f>
        <x:v>24</x:v>
      </x:c>
      <x:c r="L97" s="41" t="n">
        <x:f>0</x:f>
        <x:v>0</x:v>
      </x:c>
      <x:c r="M97" s="41" t="n">
        <x:f>0</x:f>
        <x:v>0</x:v>
      </x:c>
      <x:c r="N97" s="41" t="n">
        <x:f>0</x:f>
        <x:v>0</x:v>
      </x:c>
      <x:c r="O97" s="41" t="n">
        <x:f>0</x:f>
        <x:v>0</x:v>
      </x:c>
      <x:c r="P97" s="48" t="n">
        <x:f>IFERROR(VLOOKUP(G97,Golongan!$B:$E,2,FALSE),0)</x:f>
        <x:v>0</x:v>
      </x:c>
      <x:c r="Q97" s="48" t="n">
        <x:f>IFERROR(VLOOKUP(I97,Jabatan!$B:$E,3,FALSE),0)</x:f>
        <x:v>0</x:v>
      </x:c>
      <x:c r="R97" s="48" t="n">
        <x:f>IF(J97&gt;0,IF(K97&gt;=J97,IFERROR(VLOOKUP(G97,Golongan!$B:$E,4,FALSE),0),K97*IFERROR(VLOOKUP(G97,Golongan!$B:$E,3,FALSE),0)),0)</x:f>
        <x:v>0</x:v>
      </x:c>
      <x:c r="S97" s="48" t="n">
        <x:f>IFERROR(VLOOKUP(I97,Jabatan!$B:$E,4,FALSE),0)</x:f>
        <x:v>0</x:v>
      </x:c>
      <x:c r="T97" s="48" t="n">
        <x:f>F97*IFERROR(VLOOKUP("Tunjangan Masa Kerja / Tahun",Komponen!$A:$E,5,FALSE),0)</x:f>
        <x:v>0</x:v>
      </x:c>
      <x:c r="U97" s="48" t="n">
        <x:f>SUMIF(Lembur!$L$2:$L$501,A97&amp;"|"&amp;B97,Lembur!$I$2:$I$501)</x:f>
        <x:v>0</x:v>
      </x:c>
      <x:c r="V97" s="48" t="n">
        <x:f>K97*IFERROR(VLOOKUP("Uang Makan / Hari",Komponen!$A:$E,5,FALSE),0)</x:f>
        <x:v>0</x:v>
      </x:c>
      <x:c r="W97" s="48" t="n">
        <x:f>0</x:f>
        <x:v>0</x:v>
      </x:c>
      <x:c r="X97" s="48" t="n">
        <x:f>SUM(P97:W97)</x:f>
        <x:v>0</x:v>
      </x:c>
      <x:c r="Y97" s="48" t="n">
        <x:f>O97*IFERROR(VLOOKUP("Potongan Alpha",Komponen!$A:$E,5,FALSE),0)</x:f>
        <x:v>0</x:v>
      </x:c>
      <x:c r="Z97" s="48" t="n">
        <x:f>L97*IFERROR(VLOOKUP("Potongan Telat",Komponen!$A:$E,5,FALSE),0)</x:f>
        <x:v>0</x:v>
      </x:c>
      <x:c r="AA97" s="48" t="n">
        <x:f>0</x:f>
        <x:v>0</x:v>
      </x:c>
      <x:c r="AB97" s="48" t="n">
        <x:f>SUM(Y97:AA97)</x:f>
        <x:v>0</x:v>
      </x:c>
      <x:c r="AC97" s="48" t="n">
        <x:f>0</x:f>
        <x:v>0</x:v>
      </x:c>
      <x:c r="AD97" s="48" t="n">
        <x:f>X97-AB97+AC97</x:f>
        <x:v>0</x:v>
      </x:c>
      <x:c r="AE97" s="41" t="str">
        <x:f>IFERROR(VLOOKUP(B97,Karyawan!$A:$L,10,FALSE),"")</x:f>
      </x:c>
      <x:c r="AF97" s="41" t="str">
        <x:f>IF(AD97&lt;=0,"Cek gaji bersih",IF(P97&lt;=0,"Cek gaji pokok",IF(H97="","Cek jabatan",IF(G97="","Cek golongan","OK"))))</x:f>
        <x:v>Cek gaji bersih</x:v>
      </x:c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 t="n">
        <x:f>B98</x:f>
        <x:v>0</x:v>
      </x:c>
      <x:c r="D98" s="41" t="str">
        <x:f>IFERROR(VLOOKUP(B98,Karyawan!$A:$L,2,FALSE),"")</x:f>
      </x:c>
      <x:c r="E98" s="41" t="str">
        <x:f>IFERROR(VLOOKUP(B98,Karyawan!$A:$L,3,FALSE),"")</x:f>
      </x:c>
      <x:c r="F98" s="41" t="n">
        <x:f>IFERROR(VLOOKUP(B98,Karyawan!$A:$L,8,FALSE),0)</x:f>
        <x:v>0</x:v>
      </x:c>
      <x:c r="G98" s="41" t="str">
        <x:f>IFERROR(VLOOKUP(B98,Karyawan!$A:$L,6,FALSE),"")</x:f>
      </x:c>
      <x:c r="H98" s="41" t="str">
        <x:f>IFERROR(VLOOKUP(B98,Karyawan!$A:$L,4,FALSE),"")</x:f>
      </x:c>
      <x:c r="I98" s="41" t="str">
        <x:f>IFERROR(VLOOKUP(B98,Karyawan!$A:$L,5,FALSE),"")</x:f>
      </x:c>
      <x:c r="J98" s="41" t="n">
        <x:f>24</x:f>
        <x:v>24</x:v>
      </x:c>
      <x:c r="K98" s="41" t="n">
        <x:f>24</x:f>
        <x:v>24</x:v>
      </x:c>
      <x:c r="L98" s="41" t="n">
        <x:f>0</x:f>
        <x:v>0</x:v>
      </x:c>
      <x:c r="M98" s="41" t="n">
        <x:f>0</x:f>
        <x:v>0</x:v>
      </x:c>
      <x:c r="N98" s="41" t="n">
        <x:f>0</x:f>
        <x:v>0</x:v>
      </x:c>
      <x:c r="O98" s="41" t="n">
        <x:f>0</x:f>
        <x:v>0</x:v>
      </x:c>
      <x:c r="P98" s="48" t="n">
        <x:f>IFERROR(VLOOKUP(G98,Golongan!$B:$E,2,FALSE),0)</x:f>
        <x:v>0</x:v>
      </x:c>
      <x:c r="Q98" s="48" t="n">
        <x:f>IFERROR(VLOOKUP(I98,Jabatan!$B:$E,3,FALSE),0)</x:f>
        <x:v>0</x:v>
      </x:c>
      <x:c r="R98" s="48" t="n">
        <x:f>IF(J98&gt;0,IF(K98&gt;=J98,IFERROR(VLOOKUP(G98,Golongan!$B:$E,4,FALSE),0),K98*IFERROR(VLOOKUP(G98,Golongan!$B:$E,3,FALSE),0)),0)</x:f>
        <x:v>0</x:v>
      </x:c>
      <x:c r="S98" s="48" t="n">
        <x:f>IFERROR(VLOOKUP(I98,Jabatan!$B:$E,4,FALSE),0)</x:f>
        <x:v>0</x:v>
      </x:c>
      <x:c r="T98" s="48" t="n">
        <x:f>F98*IFERROR(VLOOKUP("Tunjangan Masa Kerja / Tahun",Komponen!$A:$E,5,FALSE),0)</x:f>
        <x:v>0</x:v>
      </x:c>
      <x:c r="U98" s="48" t="n">
        <x:f>SUMIF(Lembur!$L$2:$L$501,A98&amp;"|"&amp;B98,Lembur!$I$2:$I$501)</x:f>
        <x:v>0</x:v>
      </x:c>
      <x:c r="V98" s="48" t="n">
        <x:f>K98*IFERROR(VLOOKUP("Uang Makan / Hari",Komponen!$A:$E,5,FALSE),0)</x:f>
        <x:v>0</x:v>
      </x:c>
      <x:c r="W98" s="48" t="n">
        <x:f>0</x:f>
        <x:v>0</x:v>
      </x:c>
      <x:c r="X98" s="48" t="n">
        <x:f>SUM(P98:W98)</x:f>
        <x:v>0</x:v>
      </x:c>
      <x:c r="Y98" s="48" t="n">
        <x:f>O98*IFERROR(VLOOKUP("Potongan Alpha",Komponen!$A:$E,5,FALSE),0)</x:f>
        <x:v>0</x:v>
      </x:c>
      <x:c r="Z98" s="48" t="n">
        <x:f>L98*IFERROR(VLOOKUP("Potongan Telat",Komponen!$A:$E,5,FALSE),0)</x:f>
        <x:v>0</x:v>
      </x:c>
      <x:c r="AA98" s="48" t="n">
        <x:f>0</x:f>
        <x:v>0</x:v>
      </x:c>
      <x:c r="AB98" s="48" t="n">
        <x:f>SUM(Y98:AA98)</x:f>
        <x:v>0</x:v>
      </x:c>
      <x:c r="AC98" s="48" t="n">
        <x:f>0</x:f>
        <x:v>0</x:v>
      </x:c>
      <x:c r="AD98" s="48" t="n">
        <x:f>X98-AB98+AC98</x:f>
        <x:v>0</x:v>
      </x:c>
      <x:c r="AE98" s="41" t="str">
        <x:f>IFERROR(VLOOKUP(B98,Karyawan!$A:$L,10,FALSE),"")</x:f>
      </x:c>
      <x:c r="AF98" s="41" t="str">
        <x:f>IF(AD98&lt;=0,"Cek gaji bersih",IF(P98&lt;=0,"Cek gaji pokok",IF(H98="","Cek jabatan",IF(G98="","Cek golongan","OK"))))</x:f>
        <x:v>Cek gaji bersih</x:v>
      </x:c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 t="n">
        <x:f>B99</x:f>
        <x:v>0</x:v>
      </x:c>
      <x:c r="D99" s="41" t="str">
        <x:f>IFERROR(VLOOKUP(B99,Karyawan!$A:$L,2,FALSE),"")</x:f>
      </x:c>
      <x:c r="E99" s="41" t="str">
        <x:f>IFERROR(VLOOKUP(B99,Karyawan!$A:$L,3,FALSE),"")</x:f>
      </x:c>
      <x:c r="F99" s="41" t="n">
        <x:f>IFERROR(VLOOKUP(B99,Karyawan!$A:$L,8,FALSE),0)</x:f>
        <x:v>0</x:v>
      </x:c>
      <x:c r="G99" s="41" t="str">
        <x:f>IFERROR(VLOOKUP(B99,Karyawan!$A:$L,6,FALSE),"")</x:f>
      </x:c>
      <x:c r="H99" s="41" t="str">
        <x:f>IFERROR(VLOOKUP(B99,Karyawan!$A:$L,4,FALSE),"")</x:f>
      </x:c>
      <x:c r="I99" s="41" t="str">
        <x:f>IFERROR(VLOOKUP(B99,Karyawan!$A:$L,5,FALSE),"")</x:f>
      </x:c>
      <x:c r="J99" s="41" t="n">
        <x:f>24</x:f>
        <x:v>24</x:v>
      </x:c>
      <x:c r="K99" s="41" t="n">
        <x:f>24</x:f>
        <x:v>24</x:v>
      </x:c>
      <x:c r="L99" s="41" t="n">
        <x:f>0</x:f>
        <x:v>0</x:v>
      </x:c>
      <x:c r="M99" s="41" t="n">
        <x:f>0</x:f>
        <x:v>0</x:v>
      </x:c>
      <x:c r="N99" s="41" t="n">
        <x:f>0</x:f>
        <x:v>0</x:v>
      </x:c>
      <x:c r="O99" s="41" t="n">
        <x:f>0</x:f>
        <x:v>0</x:v>
      </x:c>
      <x:c r="P99" s="48" t="n">
        <x:f>IFERROR(VLOOKUP(G99,Golongan!$B:$E,2,FALSE),0)</x:f>
        <x:v>0</x:v>
      </x:c>
      <x:c r="Q99" s="48" t="n">
        <x:f>IFERROR(VLOOKUP(I99,Jabatan!$B:$E,3,FALSE),0)</x:f>
        <x:v>0</x:v>
      </x:c>
      <x:c r="R99" s="48" t="n">
        <x:f>IF(J99&gt;0,IF(K99&gt;=J99,IFERROR(VLOOKUP(G99,Golongan!$B:$E,4,FALSE),0),K99*IFERROR(VLOOKUP(G99,Golongan!$B:$E,3,FALSE),0)),0)</x:f>
        <x:v>0</x:v>
      </x:c>
      <x:c r="S99" s="48" t="n">
        <x:f>IFERROR(VLOOKUP(I99,Jabatan!$B:$E,4,FALSE),0)</x:f>
        <x:v>0</x:v>
      </x:c>
      <x:c r="T99" s="48" t="n">
        <x:f>F99*IFERROR(VLOOKUP("Tunjangan Masa Kerja / Tahun",Komponen!$A:$E,5,FALSE),0)</x:f>
        <x:v>0</x:v>
      </x:c>
      <x:c r="U99" s="48" t="n">
        <x:f>SUMIF(Lembur!$L$2:$L$501,A99&amp;"|"&amp;B99,Lembur!$I$2:$I$501)</x:f>
        <x:v>0</x:v>
      </x:c>
      <x:c r="V99" s="48" t="n">
        <x:f>K99*IFERROR(VLOOKUP("Uang Makan / Hari",Komponen!$A:$E,5,FALSE),0)</x:f>
        <x:v>0</x:v>
      </x:c>
      <x:c r="W99" s="48" t="n">
        <x:f>0</x:f>
        <x:v>0</x:v>
      </x:c>
      <x:c r="X99" s="48" t="n">
        <x:f>SUM(P99:W99)</x:f>
        <x:v>0</x:v>
      </x:c>
      <x:c r="Y99" s="48" t="n">
        <x:f>O99*IFERROR(VLOOKUP("Potongan Alpha",Komponen!$A:$E,5,FALSE),0)</x:f>
        <x:v>0</x:v>
      </x:c>
      <x:c r="Z99" s="48" t="n">
        <x:f>L99*IFERROR(VLOOKUP("Potongan Telat",Komponen!$A:$E,5,FALSE),0)</x:f>
        <x:v>0</x:v>
      </x:c>
      <x:c r="AA99" s="48" t="n">
        <x:f>0</x:f>
        <x:v>0</x:v>
      </x:c>
      <x:c r="AB99" s="48" t="n">
        <x:f>SUM(Y99:AA99)</x:f>
        <x:v>0</x:v>
      </x:c>
      <x:c r="AC99" s="48" t="n">
        <x:f>0</x:f>
        <x:v>0</x:v>
      </x:c>
      <x:c r="AD99" s="48" t="n">
        <x:f>X99-AB99+AC99</x:f>
        <x:v>0</x:v>
      </x:c>
      <x:c r="AE99" s="41" t="str">
        <x:f>IFERROR(VLOOKUP(B99,Karyawan!$A:$L,10,FALSE),"")</x:f>
      </x:c>
      <x:c r="AF99" s="41" t="str">
        <x:f>IF(AD99&lt;=0,"Cek gaji bersih",IF(P99&lt;=0,"Cek gaji pokok",IF(H99="","Cek jabatan",IF(G99="","Cek golongan","OK"))))</x:f>
        <x:v>Cek gaji bersih</x:v>
      </x:c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 t="n">
        <x:f>B100</x:f>
        <x:v>0</x:v>
      </x:c>
      <x:c r="D100" s="41" t="str">
        <x:f>IFERROR(VLOOKUP(B100,Karyawan!$A:$L,2,FALSE),"")</x:f>
      </x:c>
      <x:c r="E100" s="41" t="str">
        <x:f>IFERROR(VLOOKUP(B100,Karyawan!$A:$L,3,FALSE),"")</x:f>
      </x:c>
      <x:c r="F100" s="41" t="n">
        <x:f>IFERROR(VLOOKUP(B100,Karyawan!$A:$L,8,FALSE),0)</x:f>
        <x:v>0</x:v>
      </x:c>
      <x:c r="G100" s="41" t="str">
        <x:f>IFERROR(VLOOKUP(B100,Karyawan!$A:$L,6,FALSE),"")</x:f>
      </x:c>
      <x:c r="H100" s="41" t="str">
        <x:f>IFERROR(VLOOKUP(B100,Karyawan!$A:$L,4,FALSE),"")</x:f>
      </x:c>
      <x:c r="I100" s="41" t="str">
        <x:f>IFERROR(VLOOKUP(B100,Karyawan!$A:$L,5,FALSE),"")</x:f>
      </x:c>
      <x:c r="J100" s="41" t="n">
        <x:f>24</x:f>
        <x:v>24</x:v>
      </x:c>
      <x:c r="K100" s="41" t="n">
        <x:f>24</x:f>
        <x:v>24</x:v>
      </x:c>
      <x:c r="L100" s="41" t="n">
        <x:f>0</x:f>
        <x:v>0</x:v>
      </x:c>
      <x:c r="M100" s="41" t="n">
        <x:f>0</x:f>
        <x:v>0</x:v>
      </x:c>
      <x:c r="N100" s="41" t="n">
        <x:f>0</x:f>
        <x:v>0</x:v>
      </x:c>
      <x:c r="O100" s="41" t="n">
        <x:f>0</x:f>
        <x:v>0</x:v>
      </x:c>
      <x:c r="P100" s="48" t="n">
        <x:f>IFERROR(VLOOKUP(G100,Golongan!$B:$E,2,FALSE),0)</x:f>
        <x:v>0</x:v>
      </x:c>
      <x:c r="Q100" s="48" t="n">
        <x:f>IFERROR(VLOOKUP(I100,Jabatan!$B:$E,3,FALSE),0)</x:f>
        <x:v>0</x:v>
      </x:c>
      <x:c r="R100" s="48" t="n">
        <x:f>IF(J100&gt;0,IF(K100&gt;=J100,IFERROR(VLOOKUP(G100,Golongan!$B:$E,4,FALSE),0),K100*IFERROR(VLOOKUP(G100,Golongan!$B:$E,3,FALSE),0)),0)</x:f>
        <x:v>0</x:v>
      </x:c>
      <x:c r="S100" s="48" t="n">
        <x:f>IFERROR(VLOOKUP(I100,Jabatan!$B:$E,4,FALSE),0)</x:f>
        <x:v>0</x:v>
      </x:c>
      <x:c r="T100" s="48" t="n">
        <x:f>F100*IFERROR(VLOOKUP("Tunjangan Masa Kerja / Tahun",Komponen!$A:$E,5,FALSE),0)</x:f>
        <x:v>0</x:v>
      </x:c>
      <x:c r="U100" s="48" t="n">
        <x:f>SUMIF(Lembur!$L$2:$L$501,A100&amp;"|"&amp;B100,Lembur!$I$2:$I$501)</x:f>
        <x:v>0</x:v>
      </x:c>
      <x:c r="V100" s="48" t="n">
        <x:f>K100*IFERROR(VLOOKUP("Uang Makan / Hari",Komponen!$A:$E,5,FALSE),0)</x:f>
        <x:v>0</x:v>
      </x:c>
      <x:c r="W100" s="48" t="n">
        <x:f>0</x:f>
        <x:v>0</x:v>
      </x:c>
      <x:c r="X100" s="48" t="n">
        <x:f>SUM(P100:W100)</x:f>
        <x:v>0</x:v>
      </x:c>
      <x:c r="Y100" s="48" t="n">
        <x:f>O100*IFERROR(VLOOKUP("Potongan Alpha",Komponen!$A:$E,5,FALSE),0)</x:f>
        <x:v>0</x:v>
      </x:c>
      <x:c r="Z100" s="48" t="n">
        <x:f>L100*IFERROR(VLOOKUP("Potongan Telat",Komponen!$A:$E,5,FALSE),0)</x:f>
        <x:v>0</x:v>
      </x:c>
      <x:c r="AA100" s="48" t="n">
        <x:f>0</x:f>
        <x:v>0</x:v>
      </x:c>
      <x:c r="AB100" s="48" t="n">
        <x:f>SUM(Y100:AA100)</x:f>
        <x:v>0</x:v>
      </x:c>
      <x:c r="AC100" s="48" t="n">
        <x:f>0</x:f>
        <x:v>0</x:v>
      </x:c>
      <x:c r="AD100" s="48" t="n">
        <x:f>X100-AB100+AC100</x:f>
        <x:v>0</x:v>
      </x:c>
      <x:c r="AE100" s="41" t="str">
        <x:f>IFERROR(VLOOKUP(B100,Karyawan!$A:$L,10,FALSE),"")</x:f>
      </x:c>
      <x:c r="AF100" s="41" t="str">
        <x:f>IF(AD100&lt;=0,"Cek gaji bersih",IF(P100&lt;=0,"Cek gaji pokok",IF(H100="","Cek jabatan",IF(G100="","Cek golongan","OK"))))</x:f>
        <x:v>Cek gaji bersih</x:v>
      </x:c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 t="n">
        <x:f>B101</x:f>
        <x:v>0</x:v>
      </x:c>
      <x:c r="D101" s="41" t="str">
        <x:f>IFERROR(VLOOKUP(B101,Karyawan!$A:$L,2,FALSE),"")</x:f>
      </x:c>
      <x:c r="E101" s="41" t="str">
        <x:f>IFERROR(VLOOKUP(B101,Karyawan!$A:$L,3,FALSE),"")</x:f>
      </x:c>
      <x:c r="F101" s="41" t="n">
        <x:f>IFERROR(VLOOKUP(B101,Karyawan!$A:$L,8,FALSE),0)</x:f>
        <x:v>0</x:v>
      </x:c>
      <x:c r="G101" s="41" t="str">
        <x:f>IFERROR(VLOOKUP(B101,Karyawan!$A:$L,6,FALSE),"")</x:f>
      </x:c>
      <x:c r="H101" s="41" t="str">
        <x:f>IFERROR(VLOOKUP(B101,Karyawan!$A:$L,4,FALSE),"")</x:f>
      </x:c>
      <x:c r="I101" s="41" t="str">
        <x:f>IFERROR(VLOOKUP(B101,Karyawan!$A:$L,5,FALSE),"")</x:f>
      </x:c>
      <x:c r="J101" s="41" t="n">
        <x:f>24</x:f>
        <x:v>24</x:v>
      </x:c>
      <x:c r="K101" s="41" t="n">
        <x:f>24</x:f>
        <x:v>24</x:v>
      </x:c>
      <x:c r="L101" s="41" t="n">
        <x:f>0</x:f>
        <x:v>0</x:v>
      </x:c>
      <x:c r="M101" s="41" t="n">
        <x:f>0</x:f>
        <x:v>0</x:v>
      </x:c>
      <x:c r="N101" s="41" t="n">
        <x:f>0</x:f>
        <x:v>0</x:v>
      </x:c>
      <x:c r="O101" s="41" t="n">
        <x:f>0</x:f>
        <x:v>0</x:v>
      </x:c>
      <x:c r="P101" s="48" t="n">
        <x:f>IFERROR(VLOOKUP(G101,Golongan!$B:$E,2,FALSE),0)</x:f>
        <x:v>0</x:v>
      </x:c>
      <x:c r="Q101" s="48" t="n">
        <x:f>IFERROR(VLOOKUP(I101,Jabatan!$B:$E,3,FALSE),0)</x:f>
        <x:v>0</x:v>
      </x:c>
      <x:c r="R101" s="48" t="n">
        <x:f>IF(J101&gt;0,IF(K101&gt;=J101,IFERROR(VLOOKUP(G101,Golongan!$B:$E,4,FALSE),0),K101*IFERROR(VLOOKUP(G101,Golongan!$B:$E,3,FALSE),0)),0)</x:f>
        <x:v>0</x:v>
      </x:c>
      <x:c r="S101" s="48" t="n">
        <x:f>IFERROR(VLOOKUP(I101,Jabatan!$B:$E,4,FALSE),0)</x:f>
        <x:v>0</x:v>
      </x:c>
      <x:c r="T101" s="48" t="n">
        <x:f>F101*IFERROR(VLOOKUP("Tunjangan Masa Kerja / Tahun",Komponen!$A:$E,5,FALSE),0)</x:f>
        <x:v>0</x:v>
      </x:c>
      <x:c r="U101" s="48" t="n">
        <x:f>SUMIF(Lembur!$L$2:$L$501,A101&amp;"|"&amp;B101,Lembur!$I$2:$I$501)</x:f>
        <x:v>0</x:v>
      </x:c>
      <x:c r="V101" s="48" t="n">
        <x:f>K101*IFERROR(VLOOKUP("Uang Makan / Hari",Komponen!$A:$E,5,FALSE),0)</x:f>
        <x:v>0</x:v>
      </x:c>
      <x:c r="W101" s="48" t="n">
        <x:f>0</x:f>
        <x:v>0</x:v>
      </x:c>
      <x:c r="X101" s="48" t="n">
        <x:f>SUM(P101:W101)</x:f>
        <x:v>0</x:v>
      </x:c>
      <x:c r="Y101" s="48" t="n">
        <x:f>O101*IFERROR(VLOOKUP("Potongan Alpha",Komponen!$A:$E,5,FALSE),0)</x:f>
        <x:v>0</x:v>
      </x:c>
      <x:c r="Z101" s="48" t="n">
        <x:f>L101*IFERROR(VLOOKUP("Potongan Telat",Komponen!$A:$E,5,FALSE),0)</x:f>
        <x:v>0</x:v>
      </x:c>
      <x:c r="AA101" s="48" t="n">
        <x:f>0</x:f>
        <x:v>0</x:v>
      </x:c>
      <x:c r="AB101" s="48" t="n">
        <x:f>SUM(Y101:AA101)</x:f>
        <x:v>0</x:v>
      </x:c>
      <x:c r="AC101" s="48" t="n">
        <x:f>0</x:f>
        <x:v>0</x:v>
      </x:c>
      <x:c r="AD101" s="48" t="n">
        <x:f>X101-AB101+AC101</x:f>
        <x:v>0</x:v>
      </x:c>
      <x:c r="AE101" s="41" t="str">
        <x:f>IFERROR(VLOOKUP(B101,Karyawan!$A:$L,10,FALSE),"")</x:f>
      </x:c>
      <x:c r="AF101" s="41" t="str">
        <x:f>IF(AD101&lt;=0,"Cek gaji bersih",IF(P101&lt;=0,"Cek gaji pokok",IF(H101="","Cek jabatan",IF(G101="","Cek golongan","OK"))))</x:f>
        <x:v>Cek gaji bersih</x:v>
      </x:c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conditionalFormatting sqref="AF2:AF101">
    <x:cfRule type="expression" dxfId="0" priority="1">
      <x:formula>AF2&lt;&gt;""</x:formula>
    </x:cfRule>
  </x:conditionalFormatting>
  <x:conditionalFormatting sqref="AD2:AD101">
    <x:cfRule type="cellIs" dxfId="1" priority="2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fa47e48fe3458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8" hidden="0" customWidth="1"/>
    <x:col min="5" max="5" width="14" hidden="0" customWidth="1"/>
    <x:col min="6" max="6" width="18" hidden="0" customWidth="1"/>
  </x:cols>
  <x:sheetData>
    <x:row r="1">
      <x:c r="A1" s="40" t="str">
        <x:v>Status</x:v>
      </x:c>
      <x:c r="B1" s="40" t="str">
        <x:v>Jenis Komponen</x:v>
      </x:c>
      <x:c r="C1" s="40" t="str">
        <x:v>Basis Komponen</x:v>
      </x:c>
      <x:c r="D1" s="40" t="str">
        <x:v>Jenis Lembur</x:v>
      </x:c>
      <x:c r="E1" s="40" t="str">
        <x:v>Hari</x:v>
      </x:c>
      <x:c r="F1" s="40" t="str">
        <x:v>Status Lembur</x:v>
      </x:c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</x:row>
    <x:row r="2">
      <x:c r="A2" s="41" t="str">
        <x:v>Aktif</x:v>
      </x:c>
      <x:c r="B2" s="41" t="str">
        <x:v>Tambah</x:v>
      </x:c>
      <x:c r="C2" s="41" t="str">
        <x:v>Tetap Semua</x:v>
      </x:c>
      <x:c r="D2" s="41" t="str">
        <x:v>Hari Libur</x:v>
      </x:c>
      <x:c r="E2" s="41" t="str">
        <x:v>Senin</x:v>
      </x:c>
      <x:c r="F2" s="41" t="str">
        <x:v>Disetujui</x:v>
      </x:c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  <x:c r="AD2" s="41"/>
      <x:c r="AE2" s="41"/>
      <x:c r="AF2" s="41"/>
      <x:c r="AG2" s="41"/>
      <x:c r="AH2" s="41"/>
      <x:c r="AI2" s="41"/>
      <x:c r="AJ2" s="41"/>
      <x:c r="AK2" s="41"/>
      <x:c r="AL2" s="41"/>
      <x:c r="AM2" s="41"/>
      <x:c r="AN2" s="41"/>
      <x:c r="AO2" s="41"/>
      <x:c r="AP2" s="41"/>
      <x:c r="AQ2" s="41"/>
      <x:c r="AR2" s="41"/>
      <x:c r="AS2" s="41"/>
      <x:c r="AT2" s="41"/>
      <x:c r="AU2" s="41"/>
      <x:c r="AV2" s="41"/>
      <x:c r="AW2" s="41"/>
      <x:c r="AX2" s="41"/>
      <x:c r="AY2" s="41"/>
      <x:c r="AZ2" s="41"/>
    </x:row>
    <x:row r="3">
      <x:c r="A3" s="41" t="str">
        <x:v>Nonaktif</x:v>
      </x:c>
      <x:c r="B3" s="41" t="str">
        <x:v>Potong</x:v>
      </x:c>
      <x:c r="C3" s="41" t="str">
        <x:v>Per Kehadiran</x:v>
      </x:c>
      <x:c r="D3" s="41" t="str">
        <x:v>Malam</x:v>
      </x:c>
      <x:c r="E3" s="41" t="str">
        <x:v>Selasa</x:v>
      </x:c>
      <x:c r="F3" s="41" t="str">
        <x:v>Menunggu</x:v>
      </x:c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1"/>
      <x:c r="AY3" s="41"/>
      <x:c r="AZ3" s="41"/>
    </x:row>
    <x:row r="4">
      <x:c r="A4" s="41" t="str">
        <x:v>Arsip</x:v>
      </x:c>
      <x:c r="B4" s="41" t="str"/>
      <x:c r="C4" s="41" t="str">
        <x:v>Per Tahun Masa Kerja</x:v>
      </x:c>
      <x:c r="D4" s="41" t="str">
        <x:v>Event Khusus</x:v>
      </x:c>
      <x:c r="E4" s="41" t="str">
        <x:v>Rabu</x:v>
      </x:c>
      <x:c r="F4" s="41" t="str">
        <x:v>Ditolak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1"/>
      <x:c r="AY4" s="41"/>
      <x:c r="AZ4" s="41"/>
    </x:row>
    <x:row r="5">
      <x:c r="A5" s="41" t="str"/>
      <x:c r="B5" s="41" t="str"/>
      <x:c r="C5" s="41" t="str">
        <x:v>Manual Payroll</x:v>
      </x:c>
      <x:c r="D5" s="41" t="str"/>
      <x:c r="E5" s="41" t="str">
        <x:v>Kamis</x:v>
      </x:c>
      <x:c r="F5" s="41" t="str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1"/>
      <x:c r="AY5" s="41"/>
      <x:c r="AZ5" s="41"/>
    </x:row>
    <x:row r="6">
      <x:c r="A6" s="41" t="str"/>
      <x:c r="B6" s="41" t="str"/>
      <x:c r="C6" s="41" t="str">
        <x:v>Per Jam Lembur</x:v>
      </x:c>
      <x:c r="D6" s="41" t="str"/>
      <x:c r="E6" s="41" t="str">
        <x:v>Jumat</x:v>
      </x:c>
      <x:c r="F6" s="41" t="str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1"/>
      <x:c r="AY6" s="41"/>
      <x:c r="AZ6" s="41"/>
    </x:row>
    <x:row r="7">
      <x:c r="A7" s="41" t="str"/>
      <x:c r="B7" s="41" t="str"/>
      <x:c r="C7" s="41" t="str">
        <x:v>Per Kejadian</x:v>
      </x:c>
      <x:c r="D7" s="41" t="str"/>
      <x:c r="E7" s="41" t="str">
        <x:v>Sabtu</x:v>
      </x:c>
      <x:c r="F7" s="41" t="str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1"/>
      <x:c r="AY7" s="41"/>
      <x:c r="AZ7" s="41"/>
    </x:row>
    <x:row r="8">
      <x:c r="A8" s="41" t="str"/>
      <x:c r="B8" s="41" t="str"/>
      <x:c r="C8" s="41" t="str"/>
      <x:c r="D8" s="41" t="str"/>
      <x:c r="E8" s="41" t="str">
        <x:v>Minggu</x:v>
      </x:c>
      <x:c r="F8" s="41" t="str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1"/>
      <x:c r="AY8" s="41"/>
      <x:c r="A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1"/>
      <x:c r="AY9" s="41"/>
      <x:c r="A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1"/>
      <x:c r="AY10" s="41"/>
      <x:c r="A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1"/>
      <x:c r="AY11" s="41"/>
      <x:c r="A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1"/>
      <x:c r="AY12" s="41"/>
      <x:c r="A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1"/>
      <x:c r="AY13" s="41"/>
      <x:c r="A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1"/>
      <x:c r="AY14" s="41"/>
      <x:c r="A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1"/>
      <x:c r="AY15" s="41"/>
      <x:c r="A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1"/>
      <x:c r="AY16" s="41"/>
      <x:c r="A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1"/>
      <x:c r="AY17" s="41"/>
      <x:c r="A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1"/>
      <x:c r="AY18" s="41"/>
      <x:c r="A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1"/>
      <x:c r="AY19" s="41"/>
      <x:c r="A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1"/>
      <x:c r="AY20" s="41"/>
      <x:c r="A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1"/>
      <x:c r="AY21" s="41"/>
      <x:c r="A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1"/>
      <x:c r="AY22" s="41"/>
      <x:c r="A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1"/>
      <x:c r="AY23" s="41"/>
      <x:c r="A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1"/>
      <x:c r="AY24" s="41"/>
      <x:c r="A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1"/>
      <x:c r="AY25" s="41"/>
      <x:c r="A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1"/>
      <x:c r="AY26" s="41"/>
      <x:c r="A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1"/>
      <x:c r="AY27" s="41"/>
      <x:c r="A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1"/>
      <x:c r="AY28" s="41"/>
      <x:c r="A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1"/>
      <x:c r="AY29" s="41"/>
      <x:c r="A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1"/>
      <x:c r="AY30" s="41"/>
      <x:c r="A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1"/>
      <x:c r="AY31" s="41"/>
      <x:c r="A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1"/>
      <x:c r="AY32" s="41"/>
      <x:c r="A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1"/>
      <x:c r="AY33" s="41"/>
      <x:c r="A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1"/>
      <x:c r="AY34" s="41"/>
      <x:c r="A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1"/>
      <x:c r="AY35" s="41"/>
      <x:c r="A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1"/>
      <x:c r="AY36" s="41"/>
      <x:c r="A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1"/>
      <x:c r="AY37" s="41"/>
      <x:c r="A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1"/>
      <x:c r="AY38" s="41"/>
      <x:c r="A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1"/>
      <x:c r="AY39" s="41"/>
      <x:c r="A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1"/>
      <x:c r="AY40" s="41"/>
      <x:c r="A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1"/>
      <x:c r="AY41" s="41"/>
      <x:c r="A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1"/>
      <x:c r="AY42" s="41"/>
      <x:c r="A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1"/>
      <x:c r="AY43" s="41"/>
      <x:c r="A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1"/>
      <x:c r="AY44" s="41"/>
      <x:c r="A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1"/>
      <x:c r="AY45" s="41"/>
      <x:c r="A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1"/>
      <x:c r="AY46" s="41"/>
      <x:c r="A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1"/>
      <x:c r="AY47" s="41"/>
      <x:c r="A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1"/>
      <x:c r="AY48" s="41"/>
      <x:c r="A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1"/>
      <x:c r="AY49" s="41"/>
      <x:c r="A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1"/>
      <x:c r="AY50" s="41"/>
      <x:c r="A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1"/>
      <x:c r="AY51" s="41"/>
      <x:c r="A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1"/>
      <x:c r="AY52" s="41"/>
      <x:c r="A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1"/>
      <x:c r="AY53" s="41"/>
      <x:c r="A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1"/>
      <x:c r="AY54" s="41"/>
      <x:c r="A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1"/>
      <x:c r="AY55" s="41"/>
      <x:c r="A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1"/>
      <x:c r="AY56" s="41"/>
      <x:c r="A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1"/>
      <x:c r="AY57" s="41"/>
      <x:c r="A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1"/>
      <x:c r="AY58" s="41"/>
      <x:c r="A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1"/>
      <x:c r="AY59" s="41"/>
      <x:c r="A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1"/>
      <x:c r="AY60" s="41"/>
      <x:c r="A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1"/>
      <x:c r="AY61" s="41"/>
      <x:c r="A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1"/>
      <x:c r="AY62" s="41"/>
      <x:c r="A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1"/>
      <x:c r="AY63" s="41"/>
      <x:c r="A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1"/>
      <x:c r="AY64" s="41"/>
      <x:c r="A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1"/>
      <x:c r="AY65" s="41"/>
      <x:c r="A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1"/>
      <x:c r="AY66" s="41"/>
      <x:c r="A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1"/>
      <x:c r="AY67" s="41"/>
      <x:c r="A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1"/>
      <x:c r="AY68" s="41"/>
      <x:c r="A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1"/>
      <x:c r="AY69" s="41"/>
      <x:c r="A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1"/>
      <x:c r="AY70" s="41"/>
      <x:c r="A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1"/>
      <x:c r="AY71" s="41"/>
      <x:c r="A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1"/>
      <x:c r="AY72" s="41"/>
      <x:c r="A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1"/>
      <x:c r="AY73" s="41"/>
      <x:c r="A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1"/>
      <x:c r="AY74" s="41"/>
      <x:c r="A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1"/>
      <x:c r="AY75" s="41"/>
      <x:c r="A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1"/>
      <x:c r="AY76" s="41"/>
      <x:c r="A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1"/>
      <x:c r="AY77" s="41"/>
      <x:c r="A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1"/>
      <x:c r="AY78" s="41"/>
      <x:c r="A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1"/>
      <x:c r="AY79" s="41"/>
      <x:c r="A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1"/>
      <x:c r="AY80" s="41"/>
      <x:c r="A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1"/>
      <x:c r="AY81" s="41"/>
      <x:c r="A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1"/>
      <x:c r="AY82" s="41"/>
      <x:c r="A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1"/>
      <x:c r="AY83" s="41"/>
      <x:c r="A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1"/>
      <x:c r="AY84" s="41"/>
      <x:c r="A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1"/>
      <x:c r="AY85" s="41"/>
      <x:c r="A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1"/>
      <x:c r="AY86" s="41"/>
      <x:c r="A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1"/>
      <x:c r="AY87" s="41"/>
      <x:c r="A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1"/>
      <x:c r="AY88" s="41"/>
      <x:c r="A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1"/>
      <x:c r="AY89" s="41"/>
      <x:c r="A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1"/>
      <x:c r="AY90" s="41"/>
      <x:c r="A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1"/>
      <x:c r="AY91" s="41"/>
      <x:c r="A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1"/>
      <x:c r="AY92" s="41"/>
      <x:c r="A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1"/>
      <x:c r="AY93" s="41"/>
      <x:c r="A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1"/>
      <x:c r="AY94" s="41"/>
      <x:c r="A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1"/>
      <x:c r="AY95" s="41"/>
      <x:c r="A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1"/>
      <x:c r="AY96" s="41"/>
      <x:c r="A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1"/>
      <x:c r="AY97" s="41"/>
      <x:c r="A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1"/>
      <x:c r="AY98" s="41"/>
      <x:c r="A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1"/>
      <x:c r="AY99" s="41"/>
      <x:c r="A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1"/>
      <x:c r="AY100" s="41"/>
      <x:c r="A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1"/>
      <x:c r="AY101" s="41"/>
      <x:c r="A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1"/>
      <x:c r="AY102" s="41"/>
      <x:c r="A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1"/>
      <x:c r="AY103" s="41"/>
      <x:c r="A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1"/>
      <x:c r="AY104" s="41"/>
      <x:c r="A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1"/>
      <x:c r="AY105" s="41"/>
      <x:c r="A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1"/>
      <x:c r="AY106" s="41"/>
      <x:c r="A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1"/>
      <x:c r="AY107" s="41"/>
      <x:c r="A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1"/>
      <x:c r="AY108" s="41"/>
      <x:c r="A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1"/>
      <x:c r="AY109" s="41"/>
      <x:c r="A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1"/>
      <x:c r="AY110" s="41"/>
      <x:c r="A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1"/>
      <x:c r="AY111" s="41"/>
      <x:c r="A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1"/>
      <x:c r="AY112" s="41"/>
      <x:c r="A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1"/>
      <x:c r="AY113" s="41"/>
      <x:c r="A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1"/>
      <x:c r="AY114" s="41"/>
      <x:c r="A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1"/>
      <x:c r="AY115" s="41"/>
      <x:c r="A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1"/>
      <x:c r="AY116" s="41"/>
      <x:c r="A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1"/>
      <x:c r="AY117" s="41"/>
      <x:c r="A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1"/>
      <x:c r="AY118" s="41"/>
      <x:c r="A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1"/>
      <x:c r="AY119" s="41"/>
      <x:c r="A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1"/>
      <x:c r="AY120" s="41"/>
      <x:c r="A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1"/>
      <x:c r="AY121" s="41"/>
      <x:c r="A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1"/>
      <x:c r="AY122" s="41"/>
      <x:c r="A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1"/>
      <x:c r="AY123" s="41"/>
      <x:c r="A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1"/>
      <x:c r="AY124" s="41"/>
      <x:c r="A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1"/>
      <x:c r="AY125" s="41"/>
      <x:c r="A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1"/>
      <x:c r="AY126" s="41"/>
      <x:c r="A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1"/>
      <x:c r="AY127" s="41"/>
      <x:c r="A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1"/>
      <x:c r="AY128" s="41"/>
      <x:c r="A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1"/>
      <x:c r="AY129" s="41"/>
      <x:c r="A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1"/>
      <x:c r="AY130" s="41"/>
      <x:c r="A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1"/>
      <x:c r="AY131" s="41"/>
      <x:c r="A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1"/>
      <x:c r="AY132" s="41"/>
      <x:c r="A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1"/>
      <x:c r="AY133" s="41"/>
      <x:c r="A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1"/>
      <x:c r="AY134" s="41"/>
      <x:c r="A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1"/>
      <x:c r="AY135" s="41"/>
      <x:c r="A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1"/>
      <x:c r="AY136" s="41"/>
      <x:c r="A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1"/>
      <x:c r="AY137" s="41"/>
      <x:c r="A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1"/>
      <x:c r="AY138" s="41"/>
      <x:c r="A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1"/>
      <x:c r="AY139" s="41"/>
      <x:c r="A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1"/>
      <x:c r="AY140" s="41"/>
      <x:c r="A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1"/>
      <x:c r="AY141" s="41"/>
      <x:c r="A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1"/>
      <x:c r="AY142" s="41"/>
      <x:c r="A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1"/>
      <x:c r="AY143" s="41"/>
      <x:c r="A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1"/>
      <x:c r="AY144" s="41"/>
      <x:c r="A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1"/>
      <x:c r="AY145" s="41"/>
      <x:c r="A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1"/>
      <x:c r="AY146" s="41"/>
      <x:c r="A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1"/>
      <x:c r="AY147" s="41"/>
      <x:c r="A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1"/>
      <x:c r="AY148" s="41"/>
      <x:c r="A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1"/>
      <x:c r="AY149" s="41"/>
      <x:c r="A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1"/>
      <x:c r="AY150" s="41"/>
      <x:c r="A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1"/>
      <x:c r="AY151" s="41"/>
      <x:c r="A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1"/>
      <x:c r="AY152" s="41"/>
      <x:c r="A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1"/>
      <x:c r="AY153" s="41"/>
      <x:c r="A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1"/>
      <x:c r="AY154" s="41"/>
      <x:c r="A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1"/>
      <x:c r="AY155" s="41"/>
      <x:c r="A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1"/>
      <x:c r="AY156" s="41"/>
      <x:c r="A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1"/>
      <x:c r="AY157" s="41"/>
      <x:c r="A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1"/>
      <x:c r="AY158" s="41"/>
      <x:c r="A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1"/>
      <x:c r="AY159" s="41"/>
      <x:c r="A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1"/>
      <x:c r="AY160" s="41"/>
      <x:c r="A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1"/>
      <x:c r="AY164" s="41"/>
      <x:c r="A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1"/>
      <x:c r="AY165" s="41"/>
      <x:c r="A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1"/>
      <x:c r="AY166" s="41"/>
      <x:c r="A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1"/>
      <x:c r="AY167" s="41"/>
      <x:c r="A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1"/>
      <x:c r="AY168" s="41"/>
      <x:c r="A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1"/>
      <x:c r="AY169" s="41"/>
      <x:c r="A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1"/>
      <x:c r="AY173" s="41"/>
      <x:c r="A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1"/>
      <x:c r="AY174" s="41"/>
      <x:c r="A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1"/>
      <x:c r="AY175" s="41"/>
      <x:c r="A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1"/>
      <x:c r="AY176" s="41"/>
      <x:c r="A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1"/>
      <x:c r="AY177" s="41"/>
      <x:c r="A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1"/>
      <x:c r="AY178" s="41"/>
      <x:c r="A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1"/>
      <x:c r="AY179" s="41"/>
      <x:c r="A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1"/>
      <x:c r="AY180" s="41"/>
      <x:c r="A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1"/>
      <x:c r="AY181" s="41"/>
      <x:c r="A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1"/>
      <x:c r="AY182" s="41"/>
      <x:c r="A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1"/>
      <x:c r="AY183" s="41"/>
      <x:c r="A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1"/>
      <x:c r="AY184" s="41"/>
      <x:c r="A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1"/>
      <x:c r="AY185" s="41"/>
      <x:c r="A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1"/>
      <x:c r="AY186" s="41"/>
      <x:c r="A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1"/>
      <x:c r="AY187" s="41"/>
      <x:c r="A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1"/>
      <x:c r="AY188" s="41"/>
      <x:c r="A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1"/>
      <x:c r="AY189" s="41"/>
      <x:c r="A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1"/>
      <x:c r="AY190" s="41"/>
      <x:c r="A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1"/>
      <x:c r="AY191" s="41"/>
      <x:c r="A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1"/>
      <x:c r="AY192" s="41"/>
      <x:c r="A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1"/>
      <x:c r="AY193" s="41"/>
      <x:c r="A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1"/>
      <x:c r="AY194" s="41"/>
      <x:c r="A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1"/>
      <x:c r="AY195" s="41"/>
      <x:c r="A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1"/>
      <x:c r="AY196" s="41"/>
      <x:c r="A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1"/>
      <x:c r="AY197" s="41"/>
      <x:c r="A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1"/>
      <x:c r="AY198" s="41"/>
      <x:c r="A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1"/>
      <x:c r="AY199" s="41"/>
      <x:c r="A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1"/>
      <x:c r="AY200" s="41"/>
      <x:c r="AZ200" s="41"/>
    </x:row>
  </x:sheetData>
  <x:pageMargins left="0.7" right="0.7" top="0.75" bottom="0.75" header="0.3" footer="0.3"/>
</x:worksheet>
</file>